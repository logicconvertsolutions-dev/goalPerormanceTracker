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FG\Tracker\"/>
    </mc:Choice>
  </mc:AlternateContent>
  <xr:revisionPtr revIDLastSave="0" documentId="13_ncr:1_{71CCD803-4FDE-4AF2-AC15-AFDAD3811C62}" xr6:coauthVersionLast="47" xr6:coauthVersionMax="47" xr10:uidLastSave="{00000000-0000-0000-0000-000000000000}"/>
  <bookViews>
    <workbookView xWindow="-110" yWindow="-110" windowWidth="22780" windowHeight="14540" tabRatio="500" activeTab="5" xr2:uid="{00000000-000D-0000-FFFF-FFFF00000000}"/>
  </bookViews>
  <sheets>
    <sheet name="Call Log" sheetId="1" r:id="rId1"/>
    <sheet name="Appointment Log" sheetId="2" r:id="rId2"/>
    <sheet name="Sales Log" sheetId="3" r:id="rId3"/>
    <sheet name="Recruiting Log" sheetId="4" r:id="rId4"/>
    <sheet name="Daily Log" sheetId="5" r:id="rId5"/>
    <sheet name="Dashboard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6" l="1"/>
  <c r="H21" i="6"/>
  <c r="B85" i="6"/>
  <c r="B83" i="6"/>
  <c r="B78" i="6"/>
  <c r="B75" i="6"/>
  <c r="B74" i="6"/>
  <c r="B73" i="6"/>
  <c r="B72" i="6"/>
  <c r="F48" i="6"/>
  <c r="C48" i="6"/>
  <c r="A48" i="6"/>
  <c r="D48" i="6" s="1"/>
  <c r="F47" i="6"/>
  <c r="C47" i="6"/>
  <c r="A47" i="6"/>
  <c r="E47" i="6" s="1"/>
  <c r="F46" i="6"/>
  <c r="C46" i="6"/>
  <c r="A46" i="6"/>
  <c r="D46" i="6" s="1"/>
  <c r="F45" i="6"/>
  <c r="C45" i="6"/>
  <c r="A45" i="6"/>
  <c r="E45" i="6" s="1"/>
  <c r="F44" i="6"/>
  <c r="C44" i="6"/>
  <c r="A44" i="6"/>
  <c r="D44" i="6" s="1"/>
  <c r="F43" i="6"/>
  <c r="C43" i="6"/>
  <c r="A43" i="6"/>
  <c r="B43" i="6" s="1"/>
  <c r="F42" i="6"/>
  <c r="C42" i="6"/>
  <c r="A42" i="6"/>
  <c r="D42" i="6" s="1"/>
  <c r="F41" i="6"/>
  <c r="C41" i="6"/>
  <c r="A41" i="6"/>
  <c r="B41" i="6" s="1"/>
  <c r="H22" i="6"/>
  <c r="E21" i="6"/>
  <c r="B21" i="6"/>
  <c r="E20" i="6"/>
  <c r="B20" i="6"/>
  <c r="H19" i="6"/>
  <c r="E19" i="6"/>
  <c r="B19" i="6"/>
  <c r="H18" i="6"/>
  <c r="E18" i="6"/>
  <c r="B18" i="6"/>
  <c r="H17" i="6"/>
  <c r="E17" i="6"/>
  <c r="B17" i="6"/>
  <c r="C12" i="6"/>
  <c r="D12" i="6" s="1"/>
  <c r="B12" i="6"/>
  <c r="C11" i="6"/>
  <c r="B84" i="6" s="1"/>
  <c r="B11" i="6"/>
  <c r="C10" i="6"/>
  <c r="B10" i="6"/>
  <c r="A4" i="5"/>
  <c r="E4" i="5" s="1"/>
  <c r="C3" i="5"/>
  <c r="A3" i="5"/>
  <c r="H2" i="5"/>
  <c r="F2" i="5"/>
  <c r="E2" i="5"/>
  <c r="D2" i="5"/>
  <c r="C2" i="5"/>
  <c r="B2" i="5"/>
  <c r="G2" i="5" s="1"/>
  <c r="B45" i="6" l="1"/>
  <c r="E42" i="6"/>
  <c r="B71" i="6"/>
  <c r="E46" i="6"/>
  <c r="E48" i="6"/>
  <c r="B47" i="6"/>
  <c r="E44" i="6"/>
  <c r="B70" i="6"/>
  <c r="B4" i="5"/>
  <c r="G4" i="5" s="1"/>
  <c r="H4" i="5" s="1"/>
  <c r="C4" i="5"/>
  <c r="D4" i="5"/>
  <c r="F4" i="5"/>
  <c r="E43" i="6"/>
  <c r="D43" i="6"/>
  <c r="A5" i="5"/>
  <c r="F3" i="5"/>
  <c r="D3" i="5"/>
  <c r="B3" i="5"/>
  <c r="G3" i="5" s="1"/>
  <c r="H3" i="5" s="1"/>
  <c r="E41" i="6"/>
  <c r="D41" i="6"/>
  <c r="E3" i="5"/>
  <c r="B82" i="6"/>
  <c r="D10" i="6"/>
  <c r="D45" i="6"/>
  <c r="D47" i="6"/>
  <c r="D11" i="6"/>
  <c r="B42" i="6"/>
  <c r="B44" i="6"/>
  <c r="B46" i="6"/>
  <c r="B48" i="6"/>
  <c r="B77" i="6" l="1"/>
  <c r="C5" i="5"/>
  <c r="B5" i="5"/>
  <c r="G5" i="5" s="1"/>
  <c r="H5" i="5" s="1"/>
  <c r="A6" i="5"/>
  <c r="F5" i="5"/>
  <c r="E5" i="5"/>
  <c r="D5" i="5"/>
  <c r="F6" i="5" l="1"/>
  <c r="D6" i="5"/>
  <c r="A7" i="5"/>
  <c r="C6" i="5"/>
  <c r="B6" i="5"/>
  <c r="G6" i="5" s="1"/>
  <c r="H6" i="5" s="1"/>
  <c r="E6" i="5"/>
  <c r="D7" i="5" l="1"/>
  <c r="A8" i="5"/>
  <c r="F7" i="5"/>
  <c r="E7" i="5"/>
  <c r="C7" i="5"/>
  <c r="B7" i="5"/>
  <c r="G7" i="5" s="1"/>
  <c r="H7" i="5" s="1"/>
  <c r="C8" i="5" l="1"/>
  <c r="B8" i="5"/>
  <c r="G8" i="5" s="1"/>
  <c r="H8" i="5" s="1"/>
  <c r="D8" i="5"/>
  <c r="E8" i="5"/>
  <c r="A9" i="5"/>
  <c r="F8" i="5"/>
  <c r="F9" i="5" l="1"/>
  <c r="D9" i="5"/>
  <c r="E9" i="5"/>
  <c r="A10" i="5"/>
  <c r="H9" i="5"/>
  <c r="B9" i="5"/>
  <c r="G9" i="5" s="1"/>
  <c r="C9" i="5"/>
  <c r="D10" i="5" l="1"/>
  <c r="H10" i="5"/>
  <c r="E10" i="5"/>
  <c r="C10" i="5"/>
  <c r="B10" i="5"/>
  <c r="G10" i="5" s="1"/>
  <c r="F10" i="5"/>
  <c r="A11" i="5"/>
  <c r="H11" i="5" l="1"/>
  <c r="C11" i="5"/>
  <c r="B11" i="5"/>
  <c r="G11" i="5" s="1"/>
  <c r="A12" i="5"/>
  <c r="E11" i="5"/>
  <c r="F11" i="5"/>
  <c r="D11" i="5"/>
  <c r="F12" i="5" l="1"/>
  <c r="D12" i="5"/>
  <c r="H12" i="5"/>
  <c r="E12" i="5"/>
  <c r="C12" i="5"/>
  <c r="B12" i="5"/>
  <c r="G12" i="5" s="1"/>
  <c r="A13" i="5"/>
  <c r="D13" i="5" l="1"/>
  <c r="H13" i="5"/>
  <c r="A14" i="5"/>
  <c r="F13" i="5"/>
  <c r="E13" i="5"/>
  <c r="C13" i="5"/>
  <c r="B13" i="5"/>
  <c r="G13" i="5" s="1"/>
  <c r="H14" i="5" l="1"/>
  <c r="C14" i="5"/>
  <c r="B14" i="5"/>
  <c r="G14" i="5" s="1"/>
  <c r="A15" i="5"/>
  <c r="F14" i="5"/>
  <c r="E14" i="5"/>
  <c r="D14" i="5"/>
  <c r="F15" i="5" l="1"/>
  <c r="D15" i="5"/>
  <c r="A16" i="5"/>
  <c r="C15" i="5"/>
  <c r="B15" i="5"/>
  <c r="G15" i="5" s="1"/>
  <c r="H15" i="5"/>
  <c r="E15" i="5"/>
  <c r="D16" i="5" l="1"/>
  <c r="H16" i="5"/>
  <c r="B16" i="5"/>
  <c r="G16" i="5" s="1"/>
  <c r="A17" i="5"/>
  <c r="F16" i="5"/>
  <c r="E16" i="5"/>
  <c r="C16" i="5"/>
  <c r="H17" i="5" l="1"/>
  <c r="C17" i="5"/>
  <c r="B17" i="5"/>
  <c r="G17" i="5" s="1"/>
  <c r="D17" i="5"/>
  <c r="E17" i="5"/>
  <c r="A18" i="5"/>
  <c r="F17" i="5"/>
  <c r="F18" i="5" l="1"/>
  <c r="D18" i="5"/>
  <c r="A19" i="5"/>
  <c r="H18" i="5"/>
  <c r="E18" i="5"/>
  <c r="B18" i="5"/>
  <c r="G18" i="5" s="1"/>
  <c r="C18" i="5"/>
  <c r="D19" i="5" l="1"/>
  <c r="H19" i="5"/>
  <c r="E19" i="5"/>
  <c r="C19" i="5"/>
  <c r="B19" i="5"/>
  <c r="G19" i="5" s="1"/>
  <c r="F19" i="5"/>
  <c r="A20" i="5"/>
  <c r="H20" i="5" l="1"/>
  <c r="C20" i="5"/>
  <c r="B20" i="5"/>
  <c r="G20" i="5" s="1"/>
  <c r="A21" i="5"/>
  <c r="E20" i="5"/>
  <c r="F20" i="5"/>
  <c r="D20" i="5"/>
  <c r="F21" i="5" l="1"/>
  <c r="D21" i="5"/>
  <c r="H21" i="5"/>
  <c r="E21" i="5"/>
  <c r="C21" i="5"/>
  <c r="B21" i="5"/>
  <c r="G21" i="5" s="1"/>
  <c r="A22" i="5"/>
  <c r="D22" i="5" l="1"/>
  <c r="H22" i="5"/>
  <c r="A23" i="5"/>
  <c r="F22" i="5"/>
  <c r="B22" i="5"/>
  <c r="G22" i="5" s="1"/>
  <c r="E22" i="5"/>
  <c r="C22" i="5"/>
  <c r="H23" i="5" l="1"/>
  <c r="C23" i="5"/>
  <c r="B23" i="5"/>
  <c r="G23" i="5" s="1"/>
  <c r="A24" i="5"/>
  <c r="F23" i="5"/>
  <c r="E23" i="5"/>
  <c r="D23" i="5"/>
  <c r="F24" i="5" l="1"/>
  <c r="D24" i="5"/>
  <c r="A25" i="5"/>
  <c r="B24" i="5"/>
  <c r="G24" i="5" s="1"/>
  <c r="H24" i="5"/>
  <c r="E24" i="5"/>
  <c r="C24" i="5"/>
  <c r="D25" i="5" l="1"/>
  <c r="H25" i="5"/>
  <c r="A26" i="5"/>
  <c r="F25" i="5"/>
  <c r="E25" i="5"/>
  <c r="C25" i="5"/>
  <c r="B25" i="5"/>
  <c r="G25" i="5" s="1"/>
  <c r="H26" i="5" l="1"/>
  <c r="C26" i="5"/>
  <c r="B26" i="5"/>
  <c r="G26" i="5" s="1"/>
  <c r="D26" i="5"/>
  <c r="F26" i="5"/>
  <c r="E26" i="5"/>
  <c r="A27" i="5"/>
  <c r="F27" i="5" l="1"/>
  <c r="D27" i="5"/>
  <c r="A28" i="5"/>
  <c r="H27" i="5"/>
  <c r="E27" i="5"/>
  <c r="B27" i="5"/>
  <c r="G27" i="5" s="1"/>
  <c r="C27" i="5"/>
  <c r="D28" i="5" l="1"/>
  <c r="H28" i="5"/>
  <c r="E28" i="5"/>
  <c r="C28" i="5"/>
  <c r="B28" i="5"/>
  <c r="G28" i="5" s="1"/>
  <c r="F28" i="5"/>
  <c r="A29" i="5"/>
  <c r="H29" i="5" l="1"/>
  <c r="C29" i="5"/>
  <c r="B29" i="5"/>
  <c r="G29" i="5" s="1"/>
  <c r="F29" i="5"/>
  <c r="A30" i="5"/>
  <c r="E29" i="5"/>
  <c r="D29" i="5"/>
  <c r="F30" i="5" l="1"/>
  <c r="D30" i="5"/>
  <c r="H30" i="5"/>
  <c r="E30" i="5"/>
  <c r="C30" i="5"/>
  <c r="B30" i="5"/>
  <c r="G30" i="5" s="1"/>
  <c r="A31" i="5"/>
  <c r="D31" i="5" l="1"/>
  <c r="H31" i="5"/>
  <c r="A32" i="5"/>
  <c r="F31" i="5"/>
  <c r="B31" i="5"/>
  <c r="G31" i="5" s="1"/>
  <c r="E31" i="5"/>
  <c r="C31" i="5"/>
  <c r="H32" i="5" l="1"/>
  <c r="C32" i="5"/>
  <c r="B32" i="5"/>
  <c r="G32" i="5" s="1"/>
  <c r="A33" i="5"/>
  <c r="F32" i="5"/>
  <c r="E32" i="5"/>
  <c r="D32" i="5"/>
  <c r="F33" i="5" l="1"/>
  <c r="D33" i="5"/>
  <c r="A34" i="5"/>
  <c r="B33" i="5"/>
  <c r="G33" i="5" s="1"/>
  <c r="H33" i="5"/>
  <c r="E33" i="5"/>
  <c r="C33" i="5"/>
  <c r="D34" i="5" l="1"/>
  <c r="H34" i="5"/>
  <c r="B34" i="5"/>
  <c r="G34" i="5" s="1"/>
  <c r="A35" i="5"/>
  <c r="F34" i="5"/>
  <c r="E34" i="5"/>
  <c r="C34" i="5"/>
  <c r="H35" i="5" l="1"/>
  <c r="C35" i="5"/>
  <c r="B35" i="5"/>
  <c r="G35" i="5" s="1"/>
  <c r="D35" i="5"/>
  <c r="E35" i="5"/>
  <c r="A36" i="5"/>
  <c r="F35" i="5"/>
  <c r="F36" i="5" l="1"/>
  <c r="D36" i="5"/>
  <c r="A37" i="5"/>
  <c r="H36" i="5"/>
  <c r="E36" i="5"/>
  <c r="B36" i="5"/>
  <c r="G36" i="5" s="1"/>
  <c r="C36" i="5"/>
  <c r="D37" i="5" l="1"/>
  <c r="H37" i="5"/>
  <c r="E37" i="5"/>
  <c r="C37" i="5"/>
  <c r="B37" i="5"/>
  <c r="G37" i="5" s="1"/>
  <c r="F37" i="5"/>
  <c r="A38" i="5"/>
  <c r="H38" i="5" l="1"/>
  <c r="C38" i="5"/>
  <c r="B38" i="5"/>
  <c r="G38" i="5" s="1"/>
  <c r="F38" i="5"/>
  <c r="A39" i="5"/>
  <c r="E38" i="5"/>
  <c r="D38" i="5"/>
  <c r="F39" i="5" l="1"/>
  <c r="D39" i="5"/>
  <c r="H39" i="5"/>
  <c r="E39" i="5"/>
  <c r="C39" i="5"/>
  <c r="B39" i="5"/>
  <c r="G39" i="5" s="1"/>
  <c r="A40" i="5"/>
  <c r="D40" i="5" l="1"/>
  <c r="H40" i="5"/>
  <c r="A41" i="5"/>
  <c r="F40" i="5"/>
  <c r="E40" i="5"/>
  <c r="C40" i="5"/>
  <c r="B40" i="5"/>
  <c r="G40" i="5" s="1"/>
  <c r="H41" i="5" l="1"/>
  <c r="C41" i="5"/>
  <c r="B41" i="5"/>
  <c r="G41" i="5" s="1"/>
  <c r="A42" i="5"/>
  <c r="F41" i="5"/>
  <c r="E41" i="5"/>
  <c r="D41" i="5"/>
  <c r="F42" i="5" l="1"/>
  <c r="D42" i="5"/>
  <c r="A43" i="5"/>
  <c r="B42" i="5"/>
  <c r="G42" i="5" s="1"/>
  <c r="H42" i="5"/>
  <c r="E42" i="5"/>
  <c r="C42" i="5"/>
  <c r="D43" i="5" l="1"/>
  <c r="H43" i="5"/>
  <c r="B43" i="5"/>
  <c r="G43" i="5" s="1"/>
  <c r="A44" i="5"/>
  <c r="F43" i="5"/>
  <c r="E43" i="5"/>
  <c r="C43" i="5"/>
  <c r="H44" i="5" l="1"/>
  <c r="C44" i="5"/>
  <c r="B44" i="5"/>
  <c r="G44" i="5" s="1"/>
  <c r="D44" i="5"/>
  <c r="F44" i="5"/>
  <c r="E44" i="5"/>
  <c r="A45" i="5"/>
  <c r="F45" i="5" l="1"/>
  <c r="D45" i="5"/>
  <c r="A46" i="5"/>
  <c r="H45" i="5"/>
  <c r="E45" i="5"/>
  <c r="B45" i="5"/>
  <c r="G45" i="5" s="1"/>
  <c r="C45" i="5"/>
  <c r="D46" i="5" l="1"/>
  <c r="H46" i="5"/>
  <c r="E46" i="5"/>
  <c r="C46" i="5"/>
  <c r="B46" i="5"/>
  <c r="G46" i="5" s="1"/>
  <c r="F46" i="5"/>
  <c r="A47" i="5"/>
  <c r="H47" i="5" l="1"/>
  <c r="C47" i="5"/>
  <c r="B47" i="5"/>
  <c r="G47" i="5" s="1"/>
  <c r="F47" i="5"/>
  <c r="A48" i="5"/>
  <c r="E47" i="5"/>
  <c r="D47" i="5"/>
  <c r="F48" i="5" l="1"/>
  <c r="D48" i="5"/>
  <c r="H48" i="5"/>
  <c r="E48" i="5"/>
  <c r="C48" i="5"/>
  <c r="B48" i="5"/>
  <c r="G48" i="5" s="1"/>
  <c r="A49" i="5"/>
  <c r="D49" i="5" l="1"/>
  <c r="H49" i="5"/>
  <c r="A50" i="5"/>
  <c r="F49" i="5"/>
  <c r="E49" i="5"/>
  <c r="C49" i="5"/>
  <c r="B49" i="5"/>
  <c r="G49" i="5" s="1"/>
  <c r="H50" i="5" l="1"/>
  <c r="C50" i="5"/>
  <c r="B50" i="5"/>
  <c r="G50" i="5" s="1"/>
  <c r="A51" i="5"/>
  <c r="F50" i="5"/>
  <c r="E50" i="5"/>
  <c r="D50" i="5"/>
  <c r="F51" i="5" l="1"/>
  <c r="D51" i="5"/>
  <c r="A52" i="5"/>
  <c r="B51" i="5"/>
  <c r="G51" i="5" s="1"/>
  <c r="H51" i="5"/>
  <c r="E51" i="5"/>
  <c r="C51" i="5"/>
  <c r="D52" i="5" l="1"/>
  <c r="H52" i="5"/>
  <c r="B52" i="5"/>
  <c r="G52" i="5" s="1"/>
  <c r="A53" i="5"/>
  <c r="F52" i="5"/>
  <c r="E52" i="5"/>
  <c r="C52" i="5"/>
  <c r="H53" i="5" l="1"/>
  <c r="C53" i="5"/>
  <c r="B53" i="5"/>
  <c r="G53" i="5" s="1"/>
  <c r="D53" i="5"/>
  <c r="E53" i="5"/>
  <c r="A54" i="5"/>
  <c r="F53" i="5"/>
  <c r="F54" i="5" l="1"/>
  <c r="D54" i="5"/>
  <c r="C54" i="5"/>
  <c r="A55" i="5"/>
  <c r="H54" i="5"/>
  <c r="E54" i="5"/>
  <c r="B54" i="5"/>
  <c r="G54" i="5" s="1"/>
  <c r="D55" i="5" l="1"/>
  <c r="H55" i="5"/>
  <c r="E55" i="5"/>
  <c r="C55" i="5"/>
  <c r="B55" i="5"/>
  <c r="G55" i="5" s="1"/>
  <c r="F55" i="5"/>
  <c r="A56" i="5"/>
  <c r="H56" i="5" l="1"/>
  <c r="C56" i="5"/>
  <c r="B56" i="5"/>
  <c r="G56" i="5" s="1"/>
  <c r="F56" i="5"/>
  <c r="A57" i="5"/>
  <c r="E56" i="5"/>
  <c r="D56" i="5"/>
  <c r="F57" i="5" l="1"/>
  <c r="E57" i="5"/>
  <c r="D57" i="5"/>
  <c r="A58" i="5"/>
  <c r="H57" i="5"/>
  <c r="C57" i="5"/>
  <c r="B57" i="5"/>
  <c r="G57" i="5" s="1"/>
  <c r="D58" i="5" l="1"/>
  <c r="A59" i="5"/>
  <c r="H58" i="5"/>
  <c r="B58" i="5"/>
  <c r="G58" i="5" s="1"/>
  <c r="F58" i="5"/>
  <c r="E58" i="5"/>
  <c r="C58" i="5"/>
  <c r="H59" i="5" l="1"/>
  <c r="C59" i="5"/>
  <c r="B59" i="5"/>
  <c r="G59" i="5" s="1"/>
  <c r="E59" i="5"/>
  <c r="D59" i="5"/>
  <c r="A60" i="5"/>
  <c r="F59" i="5"/>
  <c r="F60" i="5" l="1"/>
  <c r="E60" i="5"/>
  <c r="D60" i="5"/>
  <c r="C60" i="5"/>
  <c r="B60" i="5"/>
  <c r="G60" i="5" s="1"/>
  <c r="H60" i="5"/>
  <c r="A61" i="5"/>
  <c r="D61" i="5" l="1"/>
  <c r="A62" i="5"/>
  <c r="H61" i="5"/>
  <c r="F61" i="5"/>
  <c r="E61" i="5"/>
  <c r="C61" i="5"/>
  <c r="B61" i="5"/>
  <c r="G61" i="5" s="1"/>
  <c r="H62" i="5" l="1"/>
  <c r="B76" i="6" s="1"/>
  <c r="C62" i="5"/>
  <c r="B62" i="5"/>
  <c r="G62" i="5" s="1"/>
  <c r="F62" i="5"/>
  <c r="E62" i="5"/>
  <c r="D62" i="5"/>
</calcChain>
</file>

<file path=xl/sharedStrings.xml><?xml version="1.0" encoding="utf-8"?>
<sst xmlns="http://schemas.openxmlformats.org/spreadsheetml/2006/main" count="126" uniqueCount="91">
  <si>
    <t>Date</t>
  </si>
  <si>
    <t>Contact Name</t>
  </si>
  <si>
    <t>Company</t>
  </si>
  <si>
    <t>Source</t>
  </si>
  <si>
    <t>Outcome</t>
  </si>
  <si>
    <t>Notes</t>
  </si>
  <si>
    <t>2026-07-06</t>
  </si>
  <si>
    <t>Jane Doe</t>
  </si>
  <si>
    <t>Acme Inc.</t>
  </si>
  <si>
    <t>Warm Market</t>
  </si>
  <si>
    <t>Appointment Set</t>
  </si>
  <si>
    <t>Interested in RRSP review</t>
  </si>
  <si>
    <t>Type</t>
  </si>
  <si>
    <t>Status</t>
  </si>
  <si>
    <t>Expected Premium ($)</t>
  </si>
  <si>
    <t>Referrals Given</t>
  </si>
  <si>
    <t>2026-07-08</t>
  </si>
  <si>
    <t>Initial Meeting</t>
  </si>
  <si>
    <t>Held</t>
  </si>
  <si>
    <t>Discussed TFSA vs RRSP options</t>
  </si>
  <si>
    <t>Client Name</t>
  </si>
  <si>
    <t>Product Type</t>
  </si>
  <si>
    <t>Premium Amount</t>
  </si>
  <si>
    <t>2026-07-09</t>
  </si>
  <si>
    <t>Universal Life</t>
  </si>
  <si>
    <t>First-year premium, monthly mode</t>
  </si>
  <si>
    <t>Prospect Name</t>
  </si>
  <si>
    <t>2026-07-07</t>
  </si>
  <si>
    <t>Alex Kumar</t>
  </si>
  <si>
    <t>Referral</t>
  </si>
  <si>
    <t>Interview Scheduled</t>
  </si>
  <si>
    <t>Ex-colleague, interested in side income</t>
  </si>
  <si>
    <t>Calls Made</t>
  </si>
  <si>
    <t>Appts Set</t>
  </si>
  <si>
    <t>Appts Held</t>
  </si>
  <si>
    <t>Premium ($)</t>
  </si>
  <si>
    <t>Recruiting Conv.</t>
  </si>
  <si>
    <t>Min Met</t>
  </si>
  <si>
    <t>Streak</t>
  </si>
  <si>
    <t>Daily Notes</t>
  </si>
  <si>
    <t>Note: Row 2's date is your start date. Rows auto-increment daily and auto-pull from all logs. 'Min Met' checks against the daily call minimum set on the Dashboard. 'Streak' is your consecutive-day count of hitting that minimum, through today.</t>
  </si>
  <si>
    <t>WFG Weekly Report</t>
  </si>
  <si>
    <t>Week Of (Monday):</t>
  </si>
  <si>
    <t>Calls Target/Wk:</t>
  </si>
  <si>
    <t>Appts Held Target/Wk:</t>
  </si>
  <si>
    <t>Premium Target/Wk ($):</t>
  </si>
  <si>
    <t>Min Calls/Day (Streak):</t>
  </si>
  <si>
    <t>MD Deadline:</t>
  </si>
  <si>
    <t>Edit the gold cells above - everything below updates automatically.</t>
  </si>
  <si>
    <t>This Week: Target vs Actual</t>
  </si>
  <si>
    <t>Metric</t>
  </si>
  <si>
    <t>Target</t>
  </si>
  <si>
    <t>Actual</t>
  </si>
  <si>
    <t>% to Goal</t>
  </si>
  <si>
    <t>Appointments Held</t>
  </si>
  <si>
    <t>Call Outcomes (Selected Week)</t>
  </si>
  <si>
    <t>Appointment Status (Selected Week)</t>
  </si>
  <si>
    <t>Call Source (Selected Week)</t>
  </si>
  <si>
    <t>Count</t>
  </si>
  <si>
    <t>Connected</t>
  </si>
  <si>
    <t>Scheduled</t>
  </si>
  <si>
    <t>Voicemail</t>
  </si>
  <si>
    <t>No Answer</t>
  </si>
  <si>
    <t>No-Show</t>
  </si>
  <si>
    <t>Cold</t>
  </si>
  <si>
    <t>Rescheduled</t>
  </si>
  <si>
    <t>Social Media</t>
  </si>
  <si>
    <t>Not Interested</t>
  </si>
  <si>
    <t>Cancelled</t>
  </si>
  <si>
    <t>Other</t>
  </si>
  <si>
    <t>8-Week Trend (ending Selected Week)</t>
  </si>
  <si>
    <t>Week Of</t>
  </si>
  <si>
    <t>Calls Target</t>
  </si>
  <si>
    <t>Premium Target</t>
  </si>
  <si>
    <t>Key Weekly Metrics</t>
  </si>
  <si>
    <t>Value</t>
  </si>
  <si>
    <t>Dial-to-Connect Ratio (Wk)</t>
  </si>
  <si>
    <t>No-Show Rate (Wk)</t>
  </si>
  <si>
    <t>Referrals Given (Wk)</t>
  </si>
  <si>
    <t>Recruiting Conversations (Wk)</t>
  </si>
  <si>
    <t>New Associates Licensed (All-Time)</t>
  </si>
  <si>
    <t>Pipeline Value - Open Appts ($)</t>
  </si>
  <si>
    <t>Current Calling Streak (days)</t>
  </si>
  <si>
    <t>4-Week Rolling Avg Calls/Wk</t>
  </si>
  <si>
    <t>Days Remaining to MD Deadline</t>
  </si>
  <si>
    <t>Conversion Funnel (Selected Week)</t>
  </si>
  <si>
    <t>Stage</t>
  </si>
  <si>
    <t>Appointments Set</t>
  </si>
  <si>
    <t>Sales Closed</t>
  </si>
  <si>
    <t>Call Back</t>
  </si>
  <si>
    <t>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</si>
</sst>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yyyy\-mm\-dd&quot; (&quot;ddd\)"/>
    <numFmt numFmtId="166" formatCode="yyyy\-mm\-dd"/>
    <numFmt numFmtId="167" formatCode="mm\-dd"/>
    <numFmt numFmtId="168" formatCode="0.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name val="Arial"/>
      <charset val="1"/>
    </font>
    <font>
      <i/>
      <sz val="10"/>
      <color rgb="FF808080"/>
      <name val="Arial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12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FFF2CC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6" fillId="0" borderId="0" xfId="0" applyFont="1"/>
    <xf numFmtId="166" fontId="6" fillId="3" borderId="1" xfId="0" applyNumberFormat="1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6" fontId="0" fillId="3" borderId="1" xfId="0" applyNumberFormat="1" applyFill="1" applyBorder="1"/>
    <xf numFmtId="9" fontId="3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167" fontId="3" fillId="0" borderId="1" xfId="0" applyNumberFormat="1" applyFont="1" applyBorder="1"/>
    <xf numFmtId="9" fontId="6" fillId="0" borderId="1" xfId="0" applyNumberFormat="1" applyFont="1" applyBorder="1"/>
    <xf numFmtId="1" fontId="6" fillId="0" borderId="1" xfId="0" applyNumberFormat="1" applyFont="1" applyBorder="1"/>
    <xf numFmtId="164" fontId="6" fillId="0" borderId="1" xfId="0" applyNumberFormat="1" applyFont="1" applyBorder="1"/>
    <xf numFmtId="168" fontId="6" fillId="0" borderId="1" xfId="0" applyNumberFormat="1" applyFont="1" applyBorder="1"/>
    <xf numFmtId="1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10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  <dxf>
      <fill>
        <patternFill>
          <bgColor rgb="FFF2F5F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6E0B4"/>
      <rgbColor rgb="FF808080"/>
      <rgbColor rgb="FF9999FF"/>
      <rgbColor rgb="FF7030A0"/>
      <rgbColor rgb="FFFFF2CC"/>
      <rgbColor rgb="FFF2F5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E75B6"/>
      <rgbColor rgb="FF4BACC6"/>
      <rgbColor rgb="FF9BBB59"/>
      <rgbColor rgb="FFFFCC00"/>
      <rgbColor rgb="FFC9A227"/>
      <rgbColor rgb="FFFF6600"/>
      <rgbColor rgb="FF8064A2"/>
      <rgbColor rgb="FF878787"/>
      <rgbColor rgb="FF0B2A47"/>
      <rgbColor rgb="FF2EA88A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Call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7440779010430392"/>
          <c:y val="0.23294048704258366"/>
          <c:w val="0.35586116021211633"/>
          <c:h val="0.63614785932604578"/>
        </c:manualLayout>
      </c:layout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9-458D-BE71-BA9F6EA568A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9-458D-BE71-BA9F6EA568A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9-458D-BE71-BA9F6EA568A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59-458D-BE71-BA9F6EA568A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B59-458D-BE71-BA9F6EA568A6}"/>
              </c:ext>
            </c:extLst>
          </c:dPt>
          <c:dLbls>
            <c:dLbl>
              <c:idx val="0"/>
              <c:layout>
                <c:manualLayout>
                  <c:x val="-0.43811130751513205"/>
                  <c:y val="-7.7158101162069198E-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601221275911941"/>
                      <c:h val="0.139192066981760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59-458D-BE71-BA9F6EA568A6}"/>
                </c:ext>
              </c:extLst>
            </c:dLbl>
            <c:dLbl>
              <c:idx val="1"/>
              <c:layout>
                <c:manualLayout>
                  <c:x val="-0.41856891959137077"/>
                  <c:y val="0.4844495683414660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754071168613219"/>
                      <c:h val="0.133330396880721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B59-458D-BE71-BA9F6EA568A6}"/>
                </c:ext>
              </c:extLst>
            </c:dLbl>
            <c:dLbl>
              <c:idx val="2"/>
              <c:layout>
                <c:manualLayout>
                  <c:x val="-0.43805608406755842"/>
                  <c:y val="-0.43009889461709944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856618759086342"/>
                      <c:h val="0.13432776939399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B59-458D-BE71-BA9F6EA568A6}"/>
                </c:ext>
              </c:extLst>
            </c:dLbl>
            <c:dLbl>
              <c:idx val="3"/>
              <c:layout>
                <c:manualLayout>
                  <c:x val="-0.43473705072580215"/>
                  <c:y val="0.21448086071256206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276051207884728"/>
                      <c:h val="0.139192066981760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B59-458D-BE71-BA9F6EA568A6}"/>
                </c:ext>
              </c:extLst>
            </c:dLbl>
            <c:dLbl>
              <c:idx val="4"/>
              <c:layout>
                <c:manualLayout>
                  <c:x val="-0.44192788532735927"/>
                  <c:y val="5.1526700014554547E-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83788097916332"/>
                      <c:h val="0.133330396880721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B59-458D-BE71-BA9F6EA56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anchor="t" anchorCtr="0"/>
              <a:lstStyle/>
              <a:p>
                <a:pPr algn="l"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Dashboard!$A$17:$A$21</c:f>
              <c:strCache>
                <c:ptCount val="5"/>
                <c:pt idx="0">
                  <c:v>Connected</c:v>
                </c:pt>
                <c:pt idx="1">
                  <c:v>Voicemail</c:v>
                </c:pt>
                <c:pt idx="2">
                  <c:v>No Answer</c:v>
                </c:pt>
                <c:pt idx="3">
                  <c:v>Appointment Set</c:v>
                </c:pt>
                <c:pt idx="4">
                  <c:v>Not Interested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59-458D-BE71-BA9F6EA5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Appointment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565560684224816"/>
          <c:y val="0.2580078928982798"/>
          <c:w val="0.37150974459714953"/>
          <c:h val="0.61311706036745406"/>
        </c:manualLayout>
      </c:layout>
      <c:pieChart>
        <c:varyColors val="1"/>
        <c:ser>
          <c:idx val="0"/>
          <c:order val="0"/>
          <c:tx>
            <c:strRef>
              <c:f>Dashboard!$E$16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E1F-49DD-A2B8-E8330558B3C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E1F-49DD-A2B8-E8330558B3C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E1F-49DD-A2B8-E8330558B3C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E1F-49DD-A2B8-E8330558B3C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E1F-49DD-A2B8-E8330558B3C1}"/>
              </c:ext>
            </c:extLst>
          </c:dPt>
          <c:dLbls>
            <c:dLbl>
              <c:idx val="0"/>
              <c:layout>
                <c:manualLayout>
                  <c:x val="-0.39675699158294869"/>
                  <c:y val="7.8547555656262369E-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930893293510721"/>
                      <c:h val="0.146834721199418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E1F-49DD-A2B8-E8330558B3C1}"/>
                </c:ext>
              </c:extLst>
            </c:dLbl>
            <c:dLbl>
              <c:idx val="1"/>
              <c:layout>
                <c:manualLayout>
                  <c:x val="-0.40635014933478142"/>
                  <c:y val="0.54878717498442187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12261743144176"/>
                      <c:h val="0.107482014388489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E1F-49DD-A2B8-E8330558B3C1}"/>
                </c:ext>
              </c:extLst>
            </c:dLbl>
            <c:dLbl>
              <c:idx val="2"/>
              <c:layout>
                <c:manualLayout>
                  <c:x val="-0.38891566657616072"/>
                  <c:y val="0.3065809399724315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99158294868315"/>
                      <c:h val="0.131462829736211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E1F-49DD-A2B8-E8330558B3C1}"/>
                </c:ext>
              </c:extLst>
            </c:dLbl>
            <c:dLbl>
              <c:idx val="3"/>
              <c:layout>
                <c:manualLayout>
                  <c:x val="-0.36958468639695902"/>
                  <c:y val="0.1840635208368738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365376052131417"/>
                      <c:h val="0.12285390585169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E1F-49DD-A2B8-E8330558B3C1}"/>
                </c:ext>
              </c:extLst>
            </c:dLbl>
            <c:dLbl>
              <c:idx val="4"/>
              <c:layout>
                <c:manualLayout>
                  <c:x val="-0.39019158294868311"/>
                  <c:y val="0.4001061198285466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243996741786587"/>
                      <c:h val="8.8297362110311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E1F-49DD-A2B8-E8330558B3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anchor="t" anchorCtr="0"/>
              <a:lstStyle/>
              <a:p>
                <a:pPr algn="l"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Dashboard!$D$17:$D$21</c:f>
              <c:strCache>
                <c:ptCount val="5"/>
                <c:pt idx="0">
                  <c:v>Scheduled</c:v>
                </c:pt>
                <c:pt idx="1">
                  <c:v>Held</c:v>
                </c:pt>
                <c:pt idx="2">
                  <c:v>No-Show</c:v>
                </c:pt>
                <c:pt idx="3">
                  <c:v>Rescheduled</c:v>
                </c:pt>
                <c:pt idx="4">
                  <c:v>Cancelled</c:v>
                </c:pt>
              </c:strCache>
            </c:strRef>
          </c:cat>
          <c:val>
            <c:numRef>
              <c:f>Dashboard!$E$17:$E$21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1F-49DD-A2B8-E8330558B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Call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7904366499642095"/>
          <c:y val="0.23259269169023775"/>
          <c:w val="0.3406411698537683"/>
          <c:h val="0.63663519608592611"/>
        </c:manualLayout>
      </c:layout>
      <c:pieChart>
        <c:varyColors val="1"/>
        <c:ser>
          <c:idx val="0"/>
          <c:order val="0"/>
          <c:tx>
            <c:strRef>
              <c:f>Dashboard!$H$16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C83-4A5A-8B44-17549E2F681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C83-4A5A-8B44-17549E2F681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C83-4A5A-8B44-17549E2F681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C83-4A5A-8B44-17549E2F681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C83-4A5A-8B44-17549E2F6815}"/>
              </c:ext>
            </c:extLst>
          </c:dPt>
          <c:dLbls>
            <c:dLbl>
              <c:idx val="0"/>
              <c:layout>
                <c:manualLayout>
                  <c:x val="-0.42506718478372024"/>
                  <c:y val="5.7870575644063886E-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859597095817562"/>
                      <c:h val="0.133058252427184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C83-4A5A-8B44-17549E2F6815}"/>
                </c:ext>
              </c:extLst>
            </c:dLbl>
            <c:dLbl>
              <c:idx val="1"/>
              <c:layout>
                <c:manualLayout>
                  <c:x val="-0.42419051027712446"/>
                  <c:y val="0.13957495604311598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34931997136722"/>
                      <c:h val="7.96601941747572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C83-4A5A-8B44-17549E2F6815}"/>
                </c:ext>
              </c:extLst>
            </c:dLbl>
            <c:dLbl>
              <c:idx val="2"/>
              <c:layout>
                <c:manualLayout>
                  <c:x val="-0.42849575621229163"/>
                  <c:y val="0.33895076828988607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173882810103278"/>
                      <c:h val="8.4514563106796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83-4A5A-8B44-17549E2F6815}"/>
                </c:ext>
              </c:extLst>
            </c:dLbl>
            <c:dLbl>
              <c:idx val="3"/>
              <c:layout>
                <c:manualLayout>
                  <c:x val="-0.40795019940689231"/>
                  <c:y val="0.24656295390260682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282973719194193"/>
                      <c:h val="0.108786407766990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C83-4A5A-8B44-17549E2F6815}"/>
                </c:ext>
              </c:extLst>
            </c:dLbl>
            <c:dLbl>
              <c:idx val="4"/>
              <c:layout>
                <c:manualLayout>
                  <c:x val="-0.43041773187442478"/>
                  <c:y val="-0.11695933032642766"/>
                </c:manualLayout>
              </c:layout>
              <c:spPr/>
              <c:txPr>
                <a:bodyPr wrap="square" anchor="t" anchorCtr="0"/>
                <a:lstStyle/>
                <a:p>
                  <a:pPr algn="l"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789467225687699"/>
                      <c:h val="0.157330097087378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C83-4A5A-8B44-17549E2F6815}"/>
                </c:ext>
              </c:extLst>
            </c:dLbl>
            <c:dLbl>
              <c:idx val="5"/>
              <c:layout>
                <c:manualLayout>
                  <c:x val="-0.43832610696390223"/>
                  <c:y val="0.5030039752312514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83-4A5A-8B44-17549E2F6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anchor="t" anchorCtr="0"/>
              <a:lstStyle/>
              <a:p>
                <a:pPr algn="l"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Dashboard!$G$17:$G$22</c:f>
              <c:strCache>
                <c:ptCount val="6"/>
                <c:pt idx="0">
                  <c:v>Warm Market</c:v>
                </c:pt>
                <c:pt idx="1">
                  <c:v>Referral</c:v>
                </c:pt>
                <c:pt idx="2">
                  <c:v>Cold</c:v>
                </c:pt>
                <c:pt idx="3">
                  <c:v>Social Media</c:v>
                </c:pt>
                <c:pt idx="4">
                  <c:v>Friend</c:v>
                </c:pt>
                <c:pt idx="5">
                  <c:v>Other</c:v>
                </c:pt>
              </c:strCache>
            </c:strRef>
          </c:cat>
          <c:val>
            <c:numRef>
              <c:f>Dashboard!$H$17:$H$22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83-4A5A-8B44-17549E2F6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Weekly Calls: Actual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Dashboard!$B$40</c:f>
              <c:strCache>
                <c:ptCount val="1"/>
                <c:pt idx="0">
                  <c:v>Calls Made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Dashboard!$A$41:$A$48</c:f>
              <c:numCache>
                <c:formatCode>mm\-dd</c:formatCode>
                <c:ptCount val="8"/>
                <c:pt idx="0">
                  <c:v>46160</c:v>
                </c:pt>
                <c:pt idx="1">
                  <c:v>46167</c:v>
                </c:pt>
                <c:pt idx="2">
                  <c:v>46174</c:v>
                </c:pt>
                <c:pt idx="3">
                  <c:v>46181</c:v>
                </c:pt>
                <c:pt idx="4">
                  <c:v>46188</c:v>
                </c:pt>
                <c:pt idx="5">
                  <c:v>46195</c:v>
                </c:pt>
                <c:pt idx="6">
                  <c:v>46202</c:v>
                </c:pt>
                <c:pt idx="7">
                  <c:v>46209</c:v>
                </c:pt>
              </c:numCache>
            </c:numRef>
          </c:cat>
          <c:val>
            <c:numRef>
              <c:f>Dashboard!$B$41:$B$48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F-4A43-B32B-466902F4F3A8}"/>
            </c:ext>
          </c:extLst>
        </c:ser>
        <c:ser>
          <c:idx val="1"/>
          <c:order val="1"/>
          <c:tx>
            <c:strRef>
              <c:f>Dashboard!$C$40</c:f>
              <c:strCache>
                <c:ptCount val="1"/>
                <c:pt idx="0">
                  <c:v>Calls Target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Dashboard!$A$41:$A$48</c:f>
              <c:numCache>
                <c:formatCode>mm\-dd</c:formatCode>
                <c:ptCount val="8"/>
                <c:pt idx="0">
                  <c:v>46160</c:v>
                </c:pt>
                <c:pt idx="1">
                  <c:v>46167</c:v>
                </c:pt>
                <c:pt idx="2">
                  <c:v>46174</c:v>
                </c:pt>
                <c:pt idx="3">
                  <c:v>46181</c:v>
                </c:pt>
                <c:pt idx="4">
                  <c:v>46188</c:v>
                </c:pt>
                <c:pt idx="5">
                  <c:v>46195</c:v>
                </c:pt>
                <c:pt idx="6">
                  <c:v>46202</c:v>
                </c:pt>
                <c:pt idx="7">
                  <c:v>46209</c:v>
                </c:pt>
              </c:numCache>
            </c:numRef>
          </c:cat>
          <c:val>
            <c:numRef>
              <c:f>Dashboard!$C$41:$C$48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F-4A43-B32B-466902F4F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71217"/>
        <c:axId val="88993968"/>
      </c:barChart>
      <c:dateAx>
        <c:axId val="930712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93968"/>
        <c:crosses val="autoZero"/>
        <c:auto val="1"/>
        <c:lblOffset val="100"/>
        <c:baseTimeUnit val="days"/>
      </c:dateAx>
      <c:valAx>
        <c:axId val="88993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71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Weekly Premium: Actual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Dashboard!$E$40</c:f>
              <c:strCache>
                <c:ptCount val="1"/>
                <c:pt idx="0">
                  <c:v>Premium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Dashboard!$A$41:$A$48</c:f>
              <c:numCache>
                <c:formatCode>mm\-dd</c:formatCode>
                <c:ptCount val="8"/>
                <c:pt idx="0">
                  <c:v>46160</c:v>
                </c:pt>
                <c:pt idx="1">
                  <c:v>46167</c:v>
                </c:pt>
                <c:pt idx="2">
                  <c:v>46174</c:v>
                </c:pt>
                <c:pt idx="3">
                  <c:v>46181</c:v>
                </c:pt>
                <c:pt idx="4">
                  <c:v>46188</c:v>
                </c:pt>
                <c:pt idx="5">
                  <c:v>46195</c:v>
                </c:pt>
                <c:pt idx="6">
                  <c:v>46202</c:v>
                </c:pt>
                <c:pt idx="7">
                  <c:v>46209</c:v>
                </c:pt>
              </c:numCache>
            </c:numRef>
          </c:cat>
          <c:val>
            <c:numRef>
              <c:f>Dashboard!$E$41:$E$48</c:f>
              <c:numCache>
                <c:formatCode>\$#,##0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1-4F6C-BAA1-2201D038D971}"/>
            </c:ext>
          </c:extLst>
        </c:ser>
        <c:ser>
          <c:idx val="1"/>
          <c:order val="1"/>
          <c:tx>
            <c:strRef>
              <c:f>Dashboard!$F$40</c:f>
              <c:strCache>
                <c:ptCount val="1"/>
                <c:pt idx="0">
                  <c:v>Premium Target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Dashboard!$A$41:$A$48</c:f>
              <c:numCache>
                <c:formatCode>mm\-dd</c:formatCode>
                <c:ptCount val="8"/>
                <c:pt idx="0">
                  <c:v>46160</c:v>
                </c:pt>
                <c:pt idx="1">
                  <c:v>46167</c:v>
                </c:pt>
                <c:pt idx="2">
                  <c:v>46174</c:v>
                </c:pt>
                <c:pt idx="3">
                  <c:v>46181</c:v>
                </c:pt>
                <c:pt idx="4">
                  <c:v>46188</c:v>
                </c:pt>
                <c:pt idx="5">
                  <c:v>46195</c:v>
                </c:pt>
                <c:pt idx="6">
                  <c:v>46202</c:v>
                </c:pt>
                <c:pt idx="7">
                  <c:v>46209</c:v>
                </c:pt>
              </c:numCache>
            </c:numRef>
          </c:cat>
          <c:val>
            <c:numRef>
              <c:f>Dashboard!$F$41:$F$48</c:f>
              <c:numCache>
                <c:formatCode>\$#,##0</c:formatCode>
                <c:ptCount val="8"/>
                <c:pt idx="0">
                  <c:v>188</c:v>
                </c:pt>
                <c:pt idx="1">
                  <c:v>188</c:v>
                </c:pt>
                <c:pt idx="2">
                  <c:v>188</c:v>
                </c:pt>
                <c:pt idx="3">
                  <c:v>188</c:v>
                </c:pt>
                <c:pt idx="4">
                  <c:v>188</c:v>
                </c:pt>
                <c:pt idx="5">
                  <c:v>188</c:v>
                </c:pt>
                <c:pt idx="6">
                  <c:v>188</c:v>
                </c:pt>
                <c:pt idx="7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1-4F6C-BAA1-2201D038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600914"/>
        <c:axId val="32533321"/>
      </c:barChart>
      <c:dateAx>
        <c:axId val="456009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33321"/>
        <c:crosses val="autoZero"/>
        <c:auto val="1"/>
        <c:lblOffset val="100"/>
        <c:baseTimeUnit val="days"/>
      </c:dateAx>
      <c:valAx>
        <c:axId val="32533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Premium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00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Conversion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Dashboard!$A$82:$A$85</c:f>
              <c:strCache>
                <c:ptCount val="4"/>
                <c:pt idx="0">
                  <c:v>Calls Made</c:v>
                </c:pt>
                <c:pt idx="1">
                  <c:v>Appointments Set</c:v>
                </c:pt>
                <c:pt idx="2">
                  <c:v>Appointments Held</c:v>
                </c:pt>
                <c:pt idx="3">
                  <c:v>Sales Closed</c:v>
                </c:pt>
              </c:strCache>
            </c:strRef>
          </c:cat>
          <c:val>
            <c:numRef>
              <c:f>Dashboard!$B$82:$B$85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4-4F10-BBDA-85AED1B1C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730656"/>
        <c:axId val="56292407"/>
      </c:barChart>
      <c:catAx>
        <c:axId val="7573065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92407"/>
        <c:crosses val="autoZero"/>
        <c:auto val="1"/>
        <c:lblAlgn val="ctr"/>
        <c:lblOffset val="100"/>
        <c:noMultiLvlLbl val="0"/>
      </c:catAx>
      <c:valAx>
        <c:axId val="562924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30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23</xdr:row>
      <xdr:rowOff>63500</xdr:rowOff>
    </xdr:from>
    <xdr:to>
      <xdr:col>6</xdr:col>
      <xdr:colOff>133350</xdr:colOff>
      <xdr:row>37</xdr:row>
      <xdr:rowOff>96260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69850</xdr:colOff>
      <xdr:row>23</xdr:row>
      <xdr:rowOff>76200</xdr:rowOff>
    </xdr:from>
    <xdr:to>
      <xdr:col>21</xdr:col>
      <xdr:colOff>450850</xdr:colOff>
      <xdr:row>37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368300</xdr:colOff>
      <xdr:row>23</xdr:row>
      <xdr:rowOff>63500</xdr:rowOff>
    </xdr:from>
    <xdr:to>
      <xdr:col>13</xdr:col>
      <xdr:colOff>425450</xdr:colOff>
      <xdr:row>37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714020</xdr:colOff>
      <xdr:row>64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49</xdr:row>
      <xdr:rowOff>6350</xdr:rowOff>
    </xdr:from>
    <xdr:to>
      <xdr:col>16</xdr:col>
      <xdr:colOff>162720</xdr:colOff>
      <xdr:row>64</xdr:row>
      <xdr:rowOff>28670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86</xdr:row>
      <xdr:rowOff>0</xdr:rowOff>
    </xdr:from>
    <xdr:to>
      <xdr:col>5</xdr:col>
      <xdr:colOff>203570</xdr:colOff>
      <xdr:row>100</xdr:row>
      <xdr:rowOff>32760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301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6328125" defaultRowHeight="14.5" x14ac:dyDescent="0.35"/>
  <cols>
    <col min="1" max="1" width="13" customWidth="1"/>
    <col min="2" max="3" width="20" customWidth="1"/>
    <col min="4" max="4" width="15" customWidth="1"/>
    <col min="5" max="5" width="18" customWidth="1"/>
    <col min="6" max="6" width="3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s="20">
        <v>46215</v>
      </c>
      <c r="B3" s="4" t="s">
        <v>7</v>
      </c>
      <c r="C3" s="4"/>
      <c r="D3" s="4" t="s">
        <v>90</v>
      </c>
      <c r="E3" s="4" t="s">
        <v>62</v>
      </c>
      <c r="F3" s="4" t="s">
        <v>89</v>
      </c>
    </row>
    <row r="4" spans="1:6" x14ac:dyDescent="0.35">
      <c r="A4" s="4"/>
      <c r="B4" s="4"/>
      <c r="C4" s="4"/>
      <c r="D4" s="4"/>
      <c r="E4" s="4"/>
      <c r="F4" s="4"/>
    </row>
    <row r="5" spans="1:6" x14ac:dyDescent="0.35">
      <c r="A5" s="4"/>
      <c r="B5" s="4"/>
      <c r="C5" s="4"/>
      <c r="D5" s="4"/>
      <c r="E5" s="4"/>
      <c r="F5" s="4"/>
    </row>
    <row r="6" spans="1:6" x14ac:dyDescent="0.35">
      <c r="A6" s="4"/>
      <c r="B6" s="4"/>
      <c r="C6" s="4"/>
      <c r="D6" s="4"/>
      <c r="E6" s="4"/>
      <c r="F6" s="4"/>
    </row>
    <row r="7" spans="1:6" x14ac:dyDescent="0.35">
      <c r="A7" s="4"/>
      <c r="B7" s="4"/>
      <c r="C7" s="4"/>
      <c r="D7" s="4"/>
      <c r="E7" s="4"/>
      <c r="F7" s="4"/>
    </row>
    <row r="8" spans="1:6" x14ac:dyDescent="0.35">
      <c r="A8" s="4"/>
      <c r="B8" s="4"/>
      <c r="C8" s="4"/>
      <c r="D8" s="4"/>
      <c r="E8" s="4"/>
      <c r="F8" s="4"/>
    </row>
    <row r="9" spans="1:6" x14ac:dyDescent="0.35">
      <c r="A9" s="4"/>
      <c r="B9" s="4"/>
      <c r="C9" s="4"/>
      <c r="D9" s="4"/>
      <c r="E9" s="4"/>
      <c r="F9" s="4"/>
    </row>
    <row r="10" spans="1:6" x14ac:dyDescent="0.35">
      <c r="A10" s="4"/>
      <c r="B10" s="4"/>
      <c r="C10" s="4"/>
      <c r="D10" s="4"/>
      <c r="E10" s="4"/>
      <c r="F10" s="4"/>
    </row>
    <row r="11" spans="1:6" x14ac:dyDescent="0.35">
      <c r="A11" s="4"/>
      <c r="B11" s="4"/>
      <c r="C11" s="4"/>
      <c r="D11" s="4"/>
      <c r="E11" s="4"/>
      <c r="F11" s="4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A14" s="4"/>
      <c r="B14" s="4"/>
      <c r="C14" s="4"/>
      <c r="D14" s="4"/>
      <c r="E14" s="4"/>
      <c r="F14" s="4"/>
    </row>
    <row r="15" spans="1:6" x14ac:dyDescent="0.35">
      <c r="A15" s="4"/>
      <c r="B15" s="4"/>
      <c r="C15" s="4"/>
      <c r="D15" s="4"/>
      <c r="E15" s="4"/>
      <c r="F15" s="4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/>
      <c r="B17" s="4"/>
      <c r="C17" s="4"/>
      <c r="D17" s="4"/>
      <c r="E17" s="4"/>
      <c r="F17" s="4"/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4"/>
      <c r="B19" s="4"/>
      <c r="C19" s="4"/>
      <c r="D19" s="4"/>
      <c r="E19" s="4"/>
      <c r="F19" s="4"/>
    </row>
    <row r="20" spans="1:6" x14ac:dyDescent="0.35">
      <c r="A20" s="4"/>
      <c r="B20" s="4"/>
      <c r="C20" s="4"/>
      <c r="D20" s="4"/>
      <c r="E20" s="4"/>
      <c r="F20" s="4"/>
    </row>
    <row r="21" spans="1:6" x14ac:dyDescent="0.35">
      <c r="A21" s="4"/>
      <c r="B21" s="4"/>
      <c r="C21" s="4"/>
      <c r="D21" s="4"/>
      <c r="E21" s="4"/>
      <c r="F21" s="4"/>
    </row>
    <row r="22" spans="1:6" x14ac:dyDescent="0.35">
      <c r="A22" s="4"/>
      <c r="B22" s="4"/>
      <c r="C22" s="4"/>
      <c r="D22" s="4"/>
      <c r="E22" s="4"/>
      <c r="F22" s="4"/>
    </row>
    <row r="23" spans="1:6" x14ac:dyDescent="0.35">
      <c r="A23" s="4"/>
      <c r="B23" s="4"/>
      <c r="C23" s="4"/>
      <c r="D23" s="4"/>
      <c r="E23" s="4"/>
      <c r="F23" s="4"/>
    </row>
    <row r="24" spans="1:6" x14ac:dyDescent="0.35">
      <c r="A24" s="4"/>
      <c r="B24" s="4"/>
      <c r="C24" s="4"/>
      <c r="D24" s="4"/>
      <c r="E24" s="4"/>
      <c r="F24" s="4"/>
    </row>
    <row r="25" spans="1:6" x14ac:dyDescent="0.35">
      <c r="A25" s="4"/>
      <c r="B25" s="4"/>
      <c r="C25" s="4"/>
      <c r="D25" s="4"/>
      <c r="E25" s="4"/>
      <c r="F25" s="4"/>
    </row>
    <row r="26" spans="1:6" x14ac:dyDescent="0.35">
      <c r="A26" s="4"/>
      <c r="B26" s="4"/>
      <c r="C26" s="4"/>
      <c r="D26" s="4"/>
      <c r="E26" s="4"/>
      <c r="F26" s="4"/>
    </row>
    <row r="27" spans="1:6" x14ac:dyDescent="0.35">
      <c r="A27" s="4"/>
      <c r="B27" s="4"/>
      <c r="C27" s="4"/>
      <c r="D27" s="4"/>
      <c r="E27" s="4"/>
      <c r="F27" s="4"/>
    </row>
    <row r="28" spans="1:6" x14ac:dyDescent="0.35">
      <c r="A28" s="4"/>
      <c r="B28" s="4"/>
      <c r="C28" s="4"/>
      <c r="D28" s="4"/>
      <c r="E28" s="4"/>
      <c r="F28" s="4"/>
    </row>
    <row r="29" spans="1:6" x14ac:dyDescent="0.35">
      <c r="A29" s="4"/>
      <c r="B29" s="4"/>
      <c r="C29" s="4"/>
      <c r="D29" s="4"/>
      <c r="E29" s="4"/>
      <c r="F29" s="4"/>
    </row>
    <row r="30" spans="1:6" x14ac:dyDescent="0.35">
      <c r="A30" s="4"/>
      <c r="B30" s="4"/>
      <c r="C30" s="4"/>
      <c r="D30" s="4"/>
      <c r="E30" s="4"/>
      <c r="F30" s="4"/>
    </row>
    <row r="31" spans="1:6" x14ac:dyDescent="0.35">
      <c r="A31" s="4"/>
      <c r="B31" s="4"/>
      <c r="C31" s="4"/>
      <c r="D31" s="4"/>
      <c r="E31" s="4"/>
      <c r="F31" s="4"/>
    </row>
    <row r="32" spans="1:6" x14ac:dyDescent="0.35">
      <c r="A32" s="4"/>
      <c r="B32" s="4"/>
      <c r="C32" s="4"/>
      <c r="D32" s="4"/>
      <c r="E32" s="4"/>
      <c r="F32" s="4"/>
    </row>
    <row r="33" spans="1:6" x14ac:dyDescent="0.35">
      <c r="A33" s="4"/>
      <c r="B33" s="4"/>
      <c r="C33" s="4"/>
      <c r="D33" s="4"/>
      <c r="E33" s="4"/>
      <c r="F33" s="4"/>
    </row>
    <row r="34" spans="1:6" x14ac:dyDescent="0.35">
      <c r="A34" s="4"/>
      <c r="B34" s="4"/>
      <c r="C34" s="4"/>
      <c r="D34" s="4"/>
      <c r="E34" s="4"/>
      <c r="F34" s="4"/>
    </row>
    <row r="35" spans="1:6" x14ac:dyDescent="0.35">
      <c r="A35" s="4"/>
      <c r="B35" s="4"/>
      <c r="C35" s="4"/>
      <c r="D35" s="4"/>
      <c r="E35" s="4"/>
      <c r="F35" s="4"/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4"/>
      <c r="B37" s="4"/>
      <c r="C37" s="4"/>
      <c r="D37" s="4"/>
      <c r="E37" s="4"/>
      <c r="F37" s="4"/>
    </row>
    <row r="38" spans="1:6" x14ac:dyDescent="0.35">
      <c r="A38" s="4"/>
      <c r="B38" s="4"/>
      <c r="C38" s="4"/>
      <c r="D38" s="4"/>
      <c r="E38" s="4"/>
      <c r="F38" s="4"/>
    </row>
    <row r="39" spans="1:6" x14ac:dyDescent="0.35">
      <c r="A39" s="4"/>
      <c r="B39" s="4"/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/>
      <c r="B42" s="4"/>
      <c r="C42" s="4"/>
      <c r="D42" s="4"/>
      <c r="E42" s="4"/>
      <c r="F42" s="4"/>
    </row>
    <row r="43" spans="1:6" x14ac:dyDescent="0.35">
      <c r="A43" s="4"/>
      <c r="B43" s="4"/>
      <c r="C43" s="4"/>
      <c r="D43" s="4"/>
      <c r="E43" s="4"/>
      <c r="F43" s="4"/>
    </row>
    <row r="44" spans="1:6" x14ac:dyDescent="0.35">
      <c r="A44" s="4"/>
      <c r="B44" s="4"/>
      <c r="C44" s="4"/>
      <c r="D44" s="4"/>
      <c r="E44" s="4"/>
      <c r="F44" s="4"/>
    </row>
    <row r="45" spans="1:6" x14ac:dyDescent="0.35">
      <c r="A45" s="4"/>
      <c r="B45" s="4"/>
      <c r="C45" s="4"/>
      <c r="D45" s="4"/>
      <c r="E45" s="4"/>
      <c r="F45" s="4"/>
    </row>
    <row r="46" spans="1:6" x14ac:dyDescent="0.35">
      <c r="A46" s="4"/>
      <c r="B46" s="4"/>
      <c r="C46" s="4"/>
      <c r="D46" s="4"/>
      <c r="E46" s="4"/>
      <c r="F46" s="4"/>
    </row>
    <row r="47" spans="1:6" x14ac:dyDescent="0.35">
      <c r="A47" s="4"/>
      <c r="B47" s="4"/>
      <c r="C47" s="4"/>
      <c r="D47" s="4"/>
      <c r="E47" s="4"/>
      <c r="F47" s="4"/>
    </row>
    <row r="48" spans="1:6" x14ac:dyDescent="0.35">
      <c r="A48" s="4"/>
      <c r="B48" s="4"/>
      <c r="C48" s="4"/>
      <c r="D48" s="4"/>
      <c r="E48" s="4"/>
      <c r="F48" s="4"/>
    </row>
    <row r="49" spans="1:6" x14ac:dyDescent="0.35">
      <c r="A49" s="4"/>
      <c r="B49" s="4"/>
      <c r="C49" s="4"/>
      <c r="D49" s="4"/>
      <c r="E49" s="4"/>
      <c r="F49" s="4"/>
    </row>
    <row r="50" spans="1:6" x14ac:dyDescent="0.35">
      <c r="A50" s="4"/>
      <c r="B50" s="4"/>
      <c r="C50" s="4"/>
      <c r="D50" s="4"/>
      <c r="E50" s="4"/>
      <c r="F50" s="4"/>
    </row>
    <row r="51" spans="1:6" x14ac:dyDescent="0.35">
      <c r="A51" s="4"/>
      <c r="B51" s="4"/>
      <c r="C51" s="4"/>
      <c r="D51" s="4"/>
      <c r="E51" s="4"/>
      <c r="F51" s="4"/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4"/>
      <c r="B53" s="4"/>
      <c r="C53" s="4"/>
      <c r="D53" s="4"/>
      <c r="E53" s="4"/>
      <c r="F53" s="4"/>
    </row>
    <row r="54" spans="1:6" x14ac:dyDescent="0.35">
      <c r="A54" s="4"/>
      <c r="B54" s="4"/>
      <c r="C54" s="4"/>
      <c r="D54" s="4"/>
      <c r="E54" s="4"/>
      <c r="F54" s="4"/>
    </row>
    <row r="55" spans="1:6" x14ac:dyDescent="0.35">
      <c r="A55" s="4"/>
      <c r="B55" s="4"/>
      <c r="C55" s="4"/>
      <c r="D55" s="4"/>
      <c r="E55" s="4"/>
      <c r="F55" s="4"/>
    </row>
    <row r="56" spans="1:6" x14ac:dyDescent="0.35">
      <c r="A56" s="4"/>
      <c r="B56" s="4"/>
      <c r="C56" s="4"/>
      <c r="D56" s="4"/>
      <c r="E56" s="4"/>
      <c r="F56" s="4"/>
    </row>
    <row r="57" spans="1:6" x14ac:dyDescent="0.35">
      <c r="A57" s="4"/>
      <c r="B57" s="4"/>
      <c r="C57" s="4"/>
      <c r="D57" s="4"/>
      <c r="E57" s="4"/>
      <c r="F57" s="4"/>
    </row>
    <row r="58" spans="1:6" x14ac:dyDescent="0.35">
      <c r="A58" s="4"/>
      <c r="B58" s="4"/>
      <c r="C58" s="4"/>
      <c r="D58" s="4"/>
      <c r="E58" s="4"/>
      <c r="F58" s="4"/>
    </row>
    <row r="59" spans="1:6" x14ac:dyDescent="0.35">
      <c r="A59" s="4"/>
      <c r="B59" s="4"/>
      <c r="C59" s="4"/>
      <c r="D59" s="4"/>
      <c r="E59" s="4"/>
      <c r="F59" s="4"/>
    </row>
    <row r="60" spans="1:6" x14ac:dyDescent="0.35">
      <c r="A60" s="4"/>
      <c r="B60" s="4"/>
      <c r="C60" s="4"/>
      <c r="D60" s="4"/>
      <c r="E60" s="4"/>
      <c r="F60" s="4"/>
    </row>
    <row r="61" spans="1:6" x14ac:dyDescent="0.35">
      <c r="A61" s="4"/>
      <c r="B61" s="4"/>
      <c r="C61" s="4"/>
      <c r="D61" s="4"/>
      <c r="E61" s="4"/>
      <c r="F61" s="4"/>
    </row>
    <row r="62" spans="1:6" x14ac:dyDescent="0.35">
      <c r="A62" s="4"/>
      <c r="B62" s="4"/>
      <c r="C62" s="4"/>
      <c r="D62" s="4"/>
      <c r="E62" s="4"/>
      <c r="F62" s="4"/>
    </row>
    <row r="63" spans="1:6" x14ac:dyDescent="0.35">
      <c r="A63" s="4"/>
      <c r="B63" s="4"/>
      <c r="C63" s="4"/>
      <c r="D63" s="4"/>
      <c r="E63" s="4"/>
      <c r="F63" s="4"/>
    </row>
    <row r="64" spans="1:6" x14ac:dyDescent="0.35">
      <c r="A64" s="4"/>
      <c r="B64" s="4"/>
      <c r="C64" s="4"/>
      <c r="D64" s="4"/>
      <c r="E64" s="4"/>
      <c r="F64" s="4"/>
    </row>
    <row r="65" spans="1:6" x14ac:dyDescent="0.35">
      <c r="A65" s="4"/>
      <c r="B65" s="4"/>
      <c r="C65" s="4"/>
      <c r="D65" s="4"/>
      <c r="E65" s="4"/>
      <c r="F65" s="4"/>
    </row>
    <row r="66" spans="1:6" x14ac:dyDescent="0.35">
      <c r="A66" s="4"/>
      <c r="B66" s="4"/>
      <c r="C66" s="4"/>
      <c r="D66" s="4"/>
      <c r="E66" s="4"/>
      <c r="F66" s="4"/>
    </row>
    <row r="67" spans="1:6" x14ac:dyDescent="0.35">
      <c r="A67" s="4"/>
      <c r="B67" s="4"/>
      <c r="C67" s="4"/>
      <c r="D67" s="4"/>
      <c r="E67" s="4"/>
      <c r="F67" s="4"/>
    </row>
    <row r="68" spans="1:6" x14ac:dyDescent="0.35">
      <c r="A68" s="4"/>
      <c r="B68" s="4"/>
      <c r="C68" s="4"/>
      <c r="D68" s="4"/>
      <c r="E68" s="4"/>
      <c r="F68" s="4"/>
    </row>
    <row r="69" spans="1:6" x14ac:dyDescent="0.35">
      <c r="A69" s="4"/>
      <c r="B69" s="4"/>
      <c r="C69" s="4"/>
      <c r="D69" s="4"/>
      <c r="E69" s="4"/>
      <c r="F69" s="4"/>
    </row>
    <row r="70" spans="1:6" x14ac:dyDescent="0.35">
      <c r="A70" s="4"/>
      <c r="B70" s="4"/>
      <c r="C70" s="4"/>
      <c r="D70" s="4"/>
      <c r="E70" s="4"/>
      <c r="F70" s="4"/>
    </row>
    <row r="71" spans="1:6" x14ac:dyDescent="0.35">
      <c r="A71" s="4"/>
      <c r="B71" s="4"/>
      <c r="C71" s="4"/>
      <c r="D71" s="4"/>
      <c r="E71" s="4"/>
      <c r="F71" s="4"/>
    </row>
    <row r="72" spans="1:6" x14ac:dyDescent="0.35">
      <c r="A72" s="4"/>
      <c r="B72" s="4"/>
      <c r="C72" s="4"/>
      <c r="D72" s="4"/>
      <c r="E72" s="4"/>
      <c r="F72" s="4"/>
    </row>
    <row r="73" spans="1:6" x14ac:dyDescent="0.35">
      <c r="A73" s="4"/>
      <c r="B73" s="4"/>
      <c r="C73" s="4"/>
      <c r="D73" s="4"/>
      <c r="E73" s="4"/>
      <c r="F73" s="4"/>
    </row>
    <row r="74" spans="1:6" x14ac:dyDescent="0.35">
      <c r="A74" s="4"/>
      <c r="B74" s="4"/>
      <c r="C74" s="4"/>
      <c r="D74" s="4"/>
      <c r="E74" s="4"/>
      <c r="F74" s="4"/>
    </row>
    <row r="75" spans="1:6" x14ac:dyDescent="0.35">
      <c r="A75" s="4"/>
      <c r="B75" s="4"/>
      <c r="C75" s="4"/>
      <c r="D75" s="4"/>
      <c r="E75" s="4"/>
      <c r="F75" s="4"/>
    </row>
    <row r="76" spans="1:6" x14ac:dyDescent="0.35">
      <c r="A76" s="4"/>
      <c r="B76" s="4"/>
      <c r="C76" s="4"/>
      <c r="D76" s="4"/>
      <c r="E76" s="4"/>
      <c r="F76" s="4"/>
    </row>
    <row r="77" spans="1:6" x14ac:dyDescent="0.35">
      <c r="A77" s="4"/>
      <c r="B77" s="4"/>
      <c r="C77" s="4"/>
      <c r="D77" s="4"/>
      <c r="E77" s="4"/>
      <c r="F77" s="4"/>
    </row>
    <row r="78" spans="1:6" x14ac:dyDescent="0.35">
      <c r="A78" s="4"/>
      <c r="B78" s="4"/>
      <c r="C78" s="4"/>
      <c r="D78" s="4"/>
      <c r="E78" s="4"/>
      <c r="F78" s="4"/>
    </row>
    <row r="79" spans="1:6" x14ac:dyDescent="0.35">
      <c r="A79" s="4"/>
      <c r="B79" s="4"/>
      <c r="C79" s="4"/>
      <c r="D79" s="4"/>
      <c r="E79" s="4"/>
      <c r="F79" s="4"/>
    </row>
    <row r="80" spans="1:6" x14ac:dyDescent="0.35">
      <c r="A80" s="4"/>
      <c r="B80" s="4"/>
      <c r="C80" s="4"/>
      <c r="D80" s="4"/>
      <c r="E80" s="4"/>
      <c r="F80" s="4"/>
    </row>
    <row r="81" spans="1:6" x14ac:dyDescent="0.35">
      <c r="A81" s="4"/>
      <c r="B81" s="4"/>
      <c r="C81" s="4"/>
      <c r="D81" s="4"/>
      <c r="E81" s="4"/>
      <c r="F81" s="4"/>
    </row>
    <row r="82" spans="1:6" x14ac:dyDescent="0.35">
      <c r="A82" s="4"/>
      <c r="B82" s="4"/>
      <c r="C82" s="4"/>
      <c r="D82" s="4"/>
      <c r="E82" s="4"/>
      <c r="F82" s="4"/>
    </row>
    <row r="83" spans="1:6" x14ac:dyDescent="0.35">
      <c r="A83" s="4"/>
      <c r="B83" s="4"/>
      <c r="C83" s="4"/>
      <c r="D83" s="4"/>
      <c r="E83" s="4"/>
      <c r="F83" s="4"/>
    </row>
    <row r="84" spans="1:6" x14ac:dyDescent="0.35">
      <c r="A84" s="4"/>
      <c r="B84" s="4"/>
      <c r="C84" s="4"/>
      <c r="D84" s="4"/>
      <c r="E84" s="4"/>
      <c r="F84" s="4"/>
    </row>
    <row r="85" spans="1:6" x14ac:dyDescent="0.35">
      <c r="A85" s="4"/>
      <c r="B85" s="4"/>
      <c r="C85" s="4"/>
      <c r="D85" s="4"/>
      <c r="E85" s="4"/>
      <c r="F85" s="4"/>
    </row>
    <row r="86" spans="1:6" x14ac:dyDescent="0.35">
      <c r="A86" s="4"/>
      <c r="B86" s="4"/>
      <c r="C86" s="4"/>
      <c r="D86" s="4"/>
      <c r="E86" s="4"/>
      <c r="F86" s="4"/>
    </row>
    <row r="87" spans="1:6" x14ac:dyDescent="0.35">
      <c r="A87" s="4"/>
      <c r="B87" s="4"/>
      <c r="C87" s="4"/>
      <c r="D87" s="4"/>
      <c r="E87" s="4"/>
      <c r="F87" s="4"/>
    </row>
    <row r="88" spans="1:6" x14ac:dyDescent="0.35">
      <c r="A88" s="4"/>
      <c r="B88" s="4"/>
      <c r="C88" s="4"/>
      <c r="D88" s="4"/>
      <c r="E88" s="4"/>
      <c r="F88" s="4"/>
    </row>
    <row r="89" spans="1:6" x14ac:dyDescent="0.35">
      <c r="A89" s="4"/>
      <c r="B89" s="4"/>
      <c r="C89" s="4"/>
      <c r="D89" s="4"/>
      <c r="E89" s="4"/>
      <c r="F89" s="4"/>
    </row>
    <row r="90" spans="1:6" x14ac:dyDescent="0.35">
      <c r="A90" s="4"/>
      <c r="B90" s="4"/>
      <c r="C90" s="4"/>
      <c r="D90" s="4"/>
      <c r="E90" s="4"/>
      <c r="F90" s="4"/>
    </row>
    <row r="91" spans="1:6" x14ac:dyDescent="0.35">
      <c r="A91" s="4"/>
      <c r="B91" s="4"/>
      <c r="C91" s="4"/>
      <c r="D91" s="4"/>
      <c r="E91" s="4"/>
      <c r="F91" s="4"/>
    </row>
    <row r="92" spans="1:6" x14ac:dyDescent="0.35">
      <c r="A92" s="4"/>
      <c r="B92" s="4"/>
      <c r="C92" s="4"/>
      <c r="D92" s="4"/>
      <c r="E92" s="4"/>
      <c r="F92" s="4"/>
    </row>
    <row r="93" spans="1:6" x14ac:dyDescent="0.35">
      <c r="A93" s="4"/>
      <c r="B93" s="4"/>
      <c r="C93" s="4"/>
      <c r="D93" s="4"/>
      <c r="E93" s="4"/>
      <c r="F93" s="4"/>
    </row>
    <row r="94" spans="1:6" x14ac:dyDescent="0.35">
      <c r="A94" s="4"/>
      <c r="B94" s="4"/>
      <c r="C94" s="4"/>
      <c r="D94" s="4"/>
      <c r="E94" s="4"/>
      <c r="F94" s="4"/>
    </row>
    <row r="95" spans="1:6" x14ac:dyDescent="0.35">
      <c r="A95" s="4"/>
      <c r="B95" s="4"/>
      <c r="C95" s="4"/>
      <c r="D95" s="4"/>
      <c r="E95" s="4"/>
      <c r="F95" s="4"/>
    </row>
    <row r="96" spans="1:6" x14ac:dyDescent="0.35">
      <c r="A96" s="4"/>
      <c r="B96" s="4"/>
      <c r="C96" s="4"/>
      <c r="D96" s="4"/>
      <c r="E96" s="4"/>
      <c r="F96" s="4"/>
    </row>
    <row r="97" spans="1:6" x14ac:dyDescent="0.35">
      <c r="A97" s="4"/>
      <c r="B97" s="4"/>
      <c r="C97" s="4"/>
      <c r="D97" s="4"/>
      <c r="E97" s="4"/>
      <c r="F97" s="4"/>
    </row>
    <row r="98" spans="1:6" x14ac:dyDescent="0.35">
      <c r="A98" s="4"/>
      <c r="B98" s="4"/>
      <c r="C98" s="4"/>
      <c r="D98" s="4"/>
      <c r="E98" s="4"/>
      <c r="F98" s="4"/>
    </row>
    <row r="99" spans="1:6" x14ac:dyDescent="0.35">
      <c r="A99" s="4"/>
      <c r="B99" s="4"/>
      <c r="C99" s="4"/>
      <c r="D99" s="4"/>
      <c r="E99" s="4"/>
      <c r="F99" s="4"/>
    </row>
    <row r="100" spans="1:6" x14ac:dyDescent="0.35">
      <c r="A100" s="4"/>
      <c r="B100" s="4"/>
      <c r="C100" s="4"/>
      <c r="D100" s="4"/>
      <c r="E100" s="4"/>
      <c r="F100" s="4"/>
    </row>
    <row r="101" spans="1:6" x14ac:dyDescent="0.35">
      <c r="A101" s="4"/>
      <c r="B101" s="4"/>
      <c r="C101" s="4"/>
      <c r="D101" s="4"/>
      <c r="E101" s="4"/>
      <c r="F101" s="4"/>
    </row>
    <row r="102" spans="1:6" x14ac:dyDescent="0.35">
      <c r="A102" s="4"/>
      <c r="B102" s="4"/>
      <c r="C102" s="4"/>
      <c r="D102" s="4"/>
      <c r="E102" s="4"/>
      <c r="F102" s="4"/>
    </row>
    <row r="103" spans="1:6" x14ac:dyDescent="0.35">
      <c r="A103" s="4"/>
      <c r="B103" s="4"/>
      <c r="C103" s="4"/>
      <c r="D103" s="4"/>
      <c r="E103" s="4"/>
      <c r="F103" s="4"/>
    </row>
    <row r="104" spans="1:6" x14ac:dyDescent="0.35">
      <c r="A104" s="4"/>
      <c r="B104" s="4"/>
      <c r="C104" s="4"/>
      <c r="D104" s="4"/>
      <c r="E104" s="4"/>
      <c r="F104" s="4"/>
    </row>
    <row r="105" spans="1:6" x14ac:dyDescent="0.35">
      <c r="A105" s="4"/>
      <c r="B105" s="4"/>
      <c r="C105" s="4"/>
      <c r="D105" s="4"/>
      <c r="E105" s="4"/>
      <c r="F105" s="4"/>
    </row>
    <row r="106" spans="1:6" x14ac:dyDescent="0.35">
      <c r="A106" s="4"/>
      <c r="B106" s="4"/>
      <c r="C106" s="4"/>
      <c r="D106" s="4"/>
      <c r="E106" s="4"/>
      <c r="F106" s="4"/>
    </row>
    <row r="107" spans="1:6" x14ac:dyDescent="0.35">
      <c r="A107" s="4"/>
      <c r="B107" s="4"/>
      <c r="C107" s="4"/>
      <c r="D107" s="4"/>
      <c r="E107" s="4"/>
      <c r="F107" s="4"/>
    </row>
    <row r="108" spans="1:6" x14ac:dyDescent="0.35">
      <c r="A108" s="4"/>
      <c r="B108" s="4"/>
      <c r="C108" s="4"/>
      <c r="D108" s="4"/>
      <c r="E108" s="4"/>
      <c r="F108" s="4"/>
    </row>
    <row r="109" spans="1:6" x14ac:dyDescent="0.35">
      <c r="A109" s="4"/>
      <c r="B109" s="4"/>
      <c r="C109" s="4"/>
      <c r="D109" s="4"/>
      <c r="E109" s="4"/>
      <c r="F109" s="4"/>
    </row>
    <row r="110" spans="1:6" x14ac:dyDescent="0.35">
      <c r="A110" s="4"/>
      <c r="B110" s="4"/>
      <c r="C110" s="4"/>
      <c r="D110" s="4"/>
      <c r="E110" s="4"/>
      <c r="F110" s="4"/>
    </row>
    <row r="111" spans="1:6" x14ac:dyDescent="0.35">
      <c r="A111" s="4"/>
      <c r="B111" s="4"/>
      <c r="C111" s="4"/>
      <c r="D111" s="4"/>
      <c r="E111" s="4"/>
      <c r="F111" s="4"/>
    </row>
    <row r="112" spans="1:6" x14ac:dyDescent="0.35">
      <c r="A112" s="4"/>
      <c r="B112" s="4"/>
      <c r="C112" s="4"/>
      <c r="D112" s="4"/>
      <c r="E112" s="4"/>
      <c r="F112" s="4"/>
    </row>
    <row r="113" spans="1:6" x14ac:dyDescent="0.35">
      <c r="A113" s="4"/>
      <c r="B113" s="4"/>
      <c r="C113" s="4"/>
      <c r="D113" s="4"/>
      <c r="E113" s="4"/>
      <c r="F113" s="4"/>
    </row>
    <row r="114" spans="1:6" x14ac:dyDescent="0.35">
      <c r="A114" s="4"/>
      <c r="B114" s="4"/>
      <c r="C114" s="4"/>
      <c r="D114" s="4"/>
      <c r="E114" s="4"/>
      <c r="F114" s="4"/>
    </row>
    <row r="115" spans="1:6" x14ac:dyDescent="0.35">
      <c r="A115" s="4"/>
      <c r="B115" s="4"/>
      <c r="C115" s="4"/>
      <c r="D115" s="4"/>
      <c r="E115" s="4"/>
      <c r="F115" s="4"/>
    </row>
    <row r="116" spans="1:6" x14ac:dyDescent="0.35">
      <c r="A116" s="4"/>
      <c r="B116" s="4"/>
      <c r="C116" s="4"/>
      <c r="D116" s="4"/>
      <c r="E116" s="4"/>
      <c r="F116" s="4"/>
    </row>
    <row r="117" spans="1:6" x14ac:dyDescent="0.35">
      <c r="A117" s="4"/>
      <c r="B117" s="4"/>
      <c r="C117" s="4"/>
      <c r="D117" s="4"/>
      <c r="E117" s="4"/>
      <c r="F117" s="4"/>
    </row>
    <row r="118" spans="1:6" x14ac:dyDescent="0.35">
      <c r="A118" s="4"/>
      <c r="B118" s="4"/>
      <c r="C118" s="4"/>
      <c r="D118" s="4"/>
      <c r="E118" s="4"/>
      <c r="F118" s="4"/>
    </row>
    <row r="119" spans="1:6" x14ac:dyDescent="0.35">
      <c r="A119" s="4"/>
      <c r="B119" s="4"/>
      <c r="C119" s="4"/>
      <c r="D119" s="4"/>
      <c r="E119" s="4"/>
      <c r="F119" s="4"/>
    </row>
    <row r="120" spans="1:6" x14ac:dyDescent="0.35">
      <c r="A120" s="4"/>
      <c r="B120" s="4"/>
      <c r="C120" s="4"/>
      <c r="D120" s="4"/>
      <c r="E120" s="4"/>
      <c r="F120" s="4"/>
    </row>
    <row r="121" spans="1:6" x14ac:dyDescent="0.35">
      <c r="A121" s="4"/>
      <c r="B121" s="4"/>
      <c r="C121" s="4"/>
      <c r="D121" s="4"/>
      <c r="E121" s="4"/>
      <c r="F121" s="4"/>
    </row>
    <row r="122" spans="1:6" x14ac:dyDescent="0.35">
      <c r="A122" s="4"/>
      <c r="B122" s="4"/>
      <c r="C122" s="4"/>
      <c r="D122" s="4"/>
      <c r="E122" s="4"/>
      <c r="F122" s="4"/>
    </row>
    <row r="123" spans="1:6" x14ac:dyDescent="0.35">
      <c r="A123" s="4"/>
      <c r="B123" s="4"/>
      <c r="C123" s="4"/>
      <c r="D123" s="4"/>
      <c r="E123" s="4"/>
      <c r="F123" s="4"/>
    </row>
    <row r="124" spans="1:6" x14ac:dyDescent="0.35">
      <c r="A124" s="4"/>
      <c r="B124" s="4"/>
      <c r="C124" s="4"/>
      <c r="D124" s="4"/>
      <c r="E124" s="4"/>
      <c r="F124" s="4"/>
    </row>
    <row r="125" spans="1:6" x14ac:dyDescent="0.35">
      <c r="A125" s="4"/>
      <c r="B125" s="4"/>
      <c r="C125" s="4"/>
      <c r="D125" s="4"/>
      <c r="E125" s="4"/>
      <c r="F125" s="4"/>
    </row>
    <row r="126" spans="1:6" x14ac:dyDescent="0.35">
      <c r="A126" s="4"/>
      <c r="B126" s="4"/>
      <c r="C126" s="4"/>
      <c r="D126" s="4"/>
      <c r="E126" s="4"/>
      <c r="F126" s="4"/>
    </row>
    <row r="127" spans="1:6" x14ac:dyDescent="0.35">
      <c r="A127" s="4"/>
      <c r="B127" s="4"/>
      <c r="C127" s="4"/>
      <c r="D127" s="4"/>
      <c r="E127" s="4"/>
      <c r="F127" s="4"/>
    </row>
    <row r="128" spans="1:6" x14ac:dyDescent="0.35">
      <c r="A128" s="4"/>
      <c r="B128" s="4"/>
      <c r="C128" s="4"/>
      <c r="D128" s="4"/>
      <c r="E128" s="4"/>
      <c r="F128" s="4"/>
    </row>
    <row r="129" spans="1:6" x14ac:dyDescent="0.35">
      <c r="A129" s="4"/>
      <c r="B129" s="4"/>
      <c r="C129" s="4"/>
      <c r="D129" s="4"/>
      <c r="E129" s="4"/>
      <c r="F129" s="4"/>
    </row>
    <row r="130" spans="1:6" x14ac:dyDescent="0.35">
      <c r="A130" s="4"/>
      <c r="B130" s="4"/>
      <c r="C130" s="4"/>
      <c r="D130" s="4"/>
      <c r="E130" s="4"/>
      <c r="F130" s="4"/>
    </row>
    <row r="131" spans="1:6" x14ac:dyDescent="0.35">
      <c r="A131" s="4"/>
      <c r="B131" s="4"/>
      <c r="C131" s="4"/>
      <c r="D131" s="4"/>
      <c r="E131" s="4"/>
      <c r="F131" s="4"/>
    </row>
    <row r="132" spans="1:6" x14ac:dyDescent="0.35">
      <c r="A132" s="4"/>
      <c r="B132" s="4"/>
      <c r="C132" s="4"/>
      <c r="D132" s="4"/>
      <c r="E132" s="4"/>
      <c r="F132" s="4"/>
    </row>
    <row r="133" spans="1:6" x14ac:dyDescent="0.35">
      <c r="A133" s="4"/>
      <c r="B133" s="4"/>
      <c r="C133" s="4"/>
      <c r="D133" s="4"/>
      <c r="E133" s="4"/>
      <c r="F133" s="4"/>
    </row>
    <row r="134" spans="1:6" x14ac:dyDescent="0.35">
      <c r="A134" s="4"/>
      <c r="B134" s="4"/>
      <c r="C134" s="4"/>
      <c r="D134" s="4"/>
      <c r="E134" s="4"/>
      <c r="F134" s="4"/>
    </row>
    <row r="135" spans="1:6" x14ac:dyDescent="0.35">
      <c r="A135" s="4"/>
      <c r="B135" s="4"/>
      <c r="C135" s="4"/>
      <c r="D135" s="4"/>
      <c r="E135" s="4"/>
      <c r="F135" s="4"/>
    </row>
    <row r="136" spans="1:6" x14ac:dyDescent="0.35">
      <c r="A136" s="4"/>
      <c r="B136" s="4"/>
      <c r="C136" s="4"/>
      <c r="D136" s="4"/>
      <c r="E136" s="4"/>
      <c r="F136" s="4"/>
    </row>
    <row r="137" spans="1:6" x14ac:dyDescent="0.35">
      <c r="A137" s="4"/>
      <c r="B137" s="4"/>
      <c r="C137" s="4"/>
      <c r="D137" s="4"/>
      <c r="E137" s="4"/>
      <c r="F137" s="4"/>
    </row>
    <row r="138" spans="1:6" x14ac:dyDescent="0.35">
      <c r="A138" s="4"/>
      <c r="B138" s="4"/>
      <c r="C138" s="4"/>
      <c r="D138" s="4"/>
      <c r="E138" s="4"/>
      <c r="F138" s="4"/>
    </row>
    <row r="139" spans="1:6" x14ac:dyDescent="0.35">
      <c r="A139" s="4"/>
      <c r="B139" s="4"/>
      <c r="C139" s="4"/>
      <c r="D139" s="4"/>
      <c r="E139" s="4"/>
      <c r="F139" s="4"/>
    </row>
    <row r="140" spans="1:6" x14ac:dyDescent="0.35">
      <c r="A140" s="4"/>
      <c r="B140" s="4"/>
      <c r="C140" s="4"/>
      <c r="D140" s="4"/>
      <c r="E140" s="4"/>
      <c r="F140" s="4"/>
    </row>
    <row r="141" spans="1:6" x14ac:dyDescent="0.35">
      <c r="A141" s="4"/>
      <c r="B141" s="4"/>
      <c r="C141" s="4"/>
      <c r="D141" s="4"/>
      <c r="E141" s="4"/>
      <c r="F141" s="4"/>
    </row>
    <row r="142" spans="1:6" x14ac:dyDescent="0.35">
      <c r="A142" s="4"/>
      <c r="B142" s="4"/>
      <c r="C142" s="4"/>
      <c r="D142" s="4"/>
      <c r="E142" s="4"/>
      <c r="F142" s="4"/>
    </row>
    <row r="143" spans="1:6" x14ac:dyDescent="0.35">
      <c r="A143" s="4"/>
      <c r="B143" s="4"/>
      <c r="C143" s="4"/>
      <c r="D143" s="4"/>
      <c r="E143" s="4"/>
      <c r="F143" s="4"/>
    </row>
    <row r="144" spans="1:6" x14ac:dyDescent="0.35">
      <c r="A144" s="4"/>
      <c r="B144" s="4"/>
      <c r="C144" s="4"/>
      <c r="D144" s="4"/>
      <c r="E144" s="4"/>
      <c r="F144" s="4"/>
    </row>
    <row r="145" spans="1:6" x14ac:dyDescent="0.35">
      <c r="A145" s="4"/>
      <c r="B145" s="4"/>
      <c r="C145" s="4"/>
      <c r="D145" s="4"/>
      <c r="E145" s="4"/>
      <c r="F145" s="4"/>
    </row>
    <row r="146" spans="1:6" x14ac:dyDescent="0.35">
      <c r="A146" s="4"/>
      <c r="B146" s="4"/>
      <c r="C146" s="4"/>
      <c r="D146" s="4"/>
      <c r="E146" s="4"/>
      <c r="F146" s="4"/>
    </row>
    <row r="147" spans="1:6" x14ac:dyDescent="0.35">
      <c r="A147" s="4"/>
      <c r="B147" s="4"/>
      <c r="C147" s="4"/>
      <c r="D147" s="4"/>
      <c r="E147" s="4"/>
      <c r="F147" s="4"/>
    </row>
    <row r="148" spans="1:6" x14ac:dyDescent="0.35">
      <c r="A148" s="4"/>
      <c r="B148" s="4"/>
      <c r="C148" s="4"/>
      <c r="D148" s="4"/>
      <c r="E148" s="4"/>
      <c r="F148" s="4"/>
    </row>
    <row r="149" spans="1:6" x14ac:dyDescent="0.35">
      <c r="A149" s="4"/>
      <c r="B149" s="4"/>
      <c r="C149" s="4"/>
      <c r="D149" s="4"/>
      <c r="E149" s="4"/>
      <c r="F149" s="4"/>
    </row>
    <row r="150" spans="1:6" x14ac:dyDescent="0.35">
      <c r="A150" s="4"/>
      <c r="B150" s="4"/>
      <c r="C150" s="4"/>
      <c r="D150" s="4"/>
      <c r="E150" s="4"/>
      <c r="F150" s="4"/>
    </row>
    <row r="151" spans="1:6" x14ac:dyDescent="0.35">
      <c r="A151" s="4"/>
      <c r="B151" s="4"/>
      <c r="C151" s="4"/>
      <c r="D151" s="4"/>
      <c r="E151" s="4"/>
      <c r="F151" s="4"/>
    </row>
    <row r="152" spans="1:6" x14ac:dyDescent="0.35">
      <c r="A152" s="4"/>
      <c r="B152" s="4"/>
      <c r="C152" s="4"/>
      <c r="D152" s="4"/>
      <c r="E152" s="4"/>
      <c r="F152" s="4"/>
    </row>
    <row r="153" spans="1:6" x14ac:dyDescent="0.35">
      <c r="A153" s="4"/>
      <c r="B153" s="4"/>
      <c r="C153" s="4"/>
      <c r="D153" s="4"/>
      <c r="E153" s="4"/>
      <c r="F153" s="4"/>
    </row>
    <row r="154" spans="1:6" x14ac:dyDescent="0.35">
      <c r="A154" s="4"/>
      <c r="B154" s="4"/>
      <c r="C154" s="4"/>
      <c r="D154" s="4"/>
      <c r="E154" s="4"/>
      <c r="F154" s="4"/>
    </row>
    <row r="155" spans="1:6" x14ac:dyDescent="0.35">
      <c r="A155" s="4"/>
      <c r="B155" s="4"/>
      <c r="C155" s="4"/>
      <c r="D155" s="4"/>
      <c r="E155" s="4"/>
      <c r="F155" s="4"/>
    </row>
    <row r="156" spans="1:6" x14ac:dyDescent="0.35">
      <c r="A156" s="4"/>
      <c r="B156" s="4"/>
      <c r="C156" s="4"/>
      <c r="D156" s="4"/>
      <c r="E156" s="4"/>
      <c r="F156" s="4"/>
    </row>
    <row r="157" spans="1:6" x14ac:dyDescent="0.35">
      <c r="A157" s="4"/>
      <c r="B157" s="4"/>
      <c r="C157" s="4"/>
      <c r="D157" s="4"/>
      <c r="E157" s="4"/>
      <c r="F157" s="4"/>
    </row>
    <row r="158" spans="1:6" x14ac:dyDescent="0.35">
      <c r="A158" s="4"/>
      <c r="B158" s="4"/>
      <c r="C158" s="4"/>
      <c r="D158" s="4"/>
      <c r="E158" s="4"/>
      <c r="F158" s="4"/>
    </row>
    <row r="159" spans="1:6" x14ac:dyDescent="0.35">
      <c r="A159" s="4"/>
      <c r="B159" s="4"/>
      <c r="C159" s="4"/>
      <c r="D159" s="4"/>
      <c r="E159" s="4"/>
      <c r="F159" s="4"/>
    </row>
    <row r="160" spans="1:6" x14ac:dyDescent="0.35">
      <c r="A160" s="4"/>
      <c r="B160" s="4"/>
      <c r="C160" s="4"/>
      <c r="D160" s="4"/>
      <c r="E160" s="4"/>
      <c r="F160" s="4"/>
    </row>
    <row r="161" spans="1:6" x14ac:dyDescent="0.35">
      <c r="A161" s="4"/>
      <c r="B161" s="4"/>
      <c r="C161" s="4"/>
      <c r="D161" s="4"/>
      <c r="E161" s="4"/>
      <c r="F161" s="4"/>
    </row>
    <row r="162" spans="1:6" x14ac:dyDescent="0.35">
      <c r="A162" s="4"/>
      <c r="B162" s="4"/>
      <c r="C162" s="4"/>
      <c r="D162" s="4"/>
      <c r="E162" s="4"/>
      <c r="F162" s="4"/>
    </row>
    <row r="163" spans="1:6" x14ac:dyDescent="0.35">
      <c r="A163" s="4"/>
      <c r="B163" s="4"/>
      <c r="C163" s="4"/>
      <c r="D163" s="4"/>
      <c r="E163" s="4"/>
      <c r="F163" s="4"/>
    </row>
    <row r="164" spans="1:6" x14ac:dyDescent="0.35">
      <c r="A164" s="4"/>
      <c r="B164" s="4"/>
      <c r="C164" s="4"/>
      <c r="D164" s="4"/>
      <c r="E164" s="4"/>
      <c r="F164" s="4"/>
    </row>
    <row r="165" spans="1:6" x14ac:dyDescent="0.35">
      <c r="A165" s="4"/>
      <c r="B165" s="4"/>
      <c r="C165" s="4"/>
      <c r="D165" s="4"/>
      <c r="E165" s="4"/>
      <c r="F165" s="4"/>
    </row>
    <row r="166" spans="1:6" x14ac:dyDescent="0.35">
      <c r="A166" s="4"/>
      <c r="B166" s="4"/>
      <c r="C166" s="4"/>
      <c r="D166" s="4"/>
      <c r="E166" s="4"/>
      <c r="F166" s="4"/>
    </row>
    <row r="167" spans="1:6" x14ac:dyDescent="0.35">
      <c r="A167" s="4"/>
      <c r="B167" s="4"/>
      <c r="C167" s="4"/>
      <c r="D167" s="4"/>
      <c r="E167" s="4"/>
      <c r="F167" s="4"/>
    </row>
    <row r="168" spans="1:6" x14ac:dyDescent="0.35">
      <c r="A168" s="4"/>
      <c r="B168" s="4"/>
      <c r="C168" s="4"/>
      <c r="D168" s="4"/>
      <c r="E168" s="4"/>
      <c r="F168" s="4"/>
    </row>
    <row r="169" spans="1:6" x14ac:dyDescent="0.35">
      <c r="A169" s="4"/>
      <c r="B169" s="4"/>
      <c r="C169" s="4"/>
      <c r="D169" s="4"/>
      <c r="E169" s="4"/>
      <c r="F169" s="4"/>
    </row>
    <row r="170" spans="1:6" x14ac:dyDescent="0.35">
      <c r="A170" s="4"/>
      <c r="B170" s="4"/>
      <c r="C170" s="4"/>
      <c r="D170" s="4"/>
      <c r="E170" s="4"/>
      <c r="F170" s="4"/>
    </row>
    <row r="171" spans="1:6" x14ac:dyDescent="0.35">
      <c r="A171" s="4"/>
      <c r="B171" s="4"/>
      <c r="C171" s="4"/>
      <c r="D171" s="4"/>
      <c r="E171" s="4"/>
      <c r="F171" s="4"/>
    </row>
    <row r="172" spans="1:6" x14ac:dyDescent="0.35">
      <c r="A172" s="4"/>
      <c r="B172" s="4"/>
      <c r="C172" s="4"/>
      <c r="D172" s="4"/>
      <c r="E172" s="4"/>
      <c r="F172" s="4"/>
    </row>
    <row r="173" spans="1:6" x14ac:dyDescent="0.35">
      <c r="A173" s="4"/>
      <c r="B173" s="4"/>
      <c r="C173" s="4"/>
      <c r="D173" s="4"/>
      <c r="E173" s="4"/>
      <c r="F173" s="4"/>
    </row>
    <row r="174" spans="1:6" x14ac:dyDescent="0.35">
      <c r="A174" s="4"/>
      <c r="B174" s="4"/>
      <c r="C174" s="4"/>
      <c r="D174" s="4"/>
      <c r="E174" s="4"/>
      <c r="F174" s="4"/>
    </row>
    <row r="175" spans="1:6" x14ac:dyDescent="0.35">
      <c r="A175" s="4"/>
      <c r="B175" s="4"/>
      <c r="C175" s="4"/>
      <c r="D175" s="4"/>
      <c r="E175" s="4"/>
      <c r="F175" s="4"/>
    </row>
    <row r="176" spans="1:6" x14ac:dyDescent="0.35">
      <c r="A176" s="4"/>
      <c r="B176" s="4"/>
      <c r="C176" s="4"/>
      <c r="D176" s="4"/>
      <c r="E176" s="4"/>
      <c r="F176" s="4"/>
    </row>
    <row r="177" spans="1:6" x14ac:dyDescent="0.35">
      <c r="A177" s="4"/>
      <c r="B177" s="4"/>
      <c r="C177" s="4"/>
      <c r="D177" s="4"/>
      <c r="E177" s="4"/>
      <c r="F177" s="4"/>
    </row>
    <row r="178" spans="1:6" x14ac:dyDescent="0.35">
      <c r="A178" s="4"/>
      <c r="B178" s="4"/>
      <c r="C178" s="4"/>
      <c r="D178" s="4"/>
      <c r="E178" s="4"/>
      <c r="F178" s="4"/>
    </row>
    <row r="179" spans="1:6" x14ac:dyDescent="0.35">
      <c r="A179" s="4"/>
      <c r="B179" s="4"/>
      <c r="C179" s="4"/>
      <c r="D179" s="4"/>
      <c r="E179" s="4"/>
      <c r="F179" s="4"/>
    </row>
    <row r="180" spans="1:6" x14ac:dyDescent="0.35">
      <c r="A180" s="4"/>
      <c r="B180" s="4"/>
      <c r="C180" s="4"/>
      <c r="D180" s="4"/>
      <c r="E180" s="4"/>
      <c r="F180" s="4"/>
    </row>
    <row r="181" spans="1:6" x14ac:dyDescent="0.35">
      <c r="A181" s="4"/>
      <c r="B181" s="4"/>
      <c r="C181" s="4"/>
      <c r="D181" s="4"/>
      <c r="E181" s="4"/>
      <c r="F181" s="4"/>
    </row>
    <row r="182" spans="1:6" x14ac:dyDescent="0.35">
      <c r="A182" s="4"/>
      <c r="B182" s="4"/>
      <c r="C182" s="4"/>
      <c r="D182" s="4"/>
      <c r="E182" s="4"/>
      <c r="F182" s="4"/>
    </row>
    <row r="183" spans="1:6" x14ac:dyDescent="0.35">
      <c r="A183" s="4"/>
      <c r="B183" s="4"/>
      <c r="C183" s="4"/>
      <c r="D183" s="4"/>
      <c r="E183" s="4"/>
      <c r="F183" s="4"/>
    </row>
    <row r="184" spans="1:6" x14ac:dyDescent="0.35">
      <c r="A184" s="4"/>
      <c r="B184" s="4"/>
      <c r="C184" s="4"/>
      <c r="D184" s="4"/>
      <c r="E184" s="4"/>
      <c r="F184" s="4"/>
    </row>
    <row r="185" spans="1:6" x14ac:dyDescent="0.35">
      <c r="A185" s="4"/>
      <c r="B185" s="4"/>
      <c r="C185" s="4"/>
      <c r="D185" s="4"/>
      <c r="E185" s="4"/>
      <c r="F185" s="4"/>
    </row>
    <row r="186" spans="1:6" x14ac:dyDescent="0.35">
      <c r="A186" s="4"/>
      <c r="B186" s="4"/>
      <c r="C186" s="4"/>
      <c r="D186" s="4"/>
      <c r="E186" s="4"/>
      <c r="F186" s="4"/>
    </row>
    <row r="187" spans="1:6" x14ac:dyDescent="0.35">
      <c r="A187" s="4"/>
      <c r="B187" s="4"/>
      <c r="C187" s="4"/>
      <c r="D187" s="4"/>
      <c r="E187" s="4"/>
      <c r="F187" s="4"/>
    </row>
    <row r="188" spans="1:6" x14ac:dyDescent="0.35">
      <c r="A188" s="4"/>
      <c r="B188" s="4"/>
      <c r="C188" s="4"/>
      <c r="D188" s="4"/>
      <c r="E188" s="4"/>
      <c r="F188" s="4"/>
    </row>
    <row r="189" spans="1:6" x14ac:dyDescent="0.35">
      <c r="A189" s="4"/>
      <c r="B189" s="4"/>
      <c r="C189" s="4"/>
      <c r="D189" s="4"/>
      <c r="E189" s="4"/>
      <c r="F189" s="4"/>
    </row>
    <row r="190" spans="1:6" x14ac:dyDescent="0.35">
      <c r="A190" s="4"/>
      <c r="B190" s="4"/>
      <c r="C190" s="4"/>
      <c r="D190" s="4"/>
      <c r="E190" s="4"/>
      <c r="F190" s="4"/>
    </row>
    <row r="191" spans="1:6" x14ac:dyDescent="0.35">
      <c r="A191" s="4"/>
      <c r="B191" s="4"/>
      <c r="C191" s="4"/>
      <c r="D191" s="4"/>
      <c r="E191" s="4"/>
      <c r="F191" s="4"/>
    </row>
    <row r="192" spans="1:6" x14ac:dyDescent="0.35">
      <c r="A192" s="4"/>
      <c r="B192" s="4"/>
      <c r="C192" s="4"/>
      <c r="D192" s="4"/>
      <c r="E192" s="4"/>
      <c r="F192" s="4"/>
    </row>
    <row r="193" spans="1:6" x14ac:dyDescent="0.35">
      <c r="A193" s="4"/>
      <c r="B193" s="4"/>
      <c r="C193" s="4"/>
      <c r="D193" s="4"/>
      <c r="E193" s="4"/>
      <c r="F193" s="4"/>
    </row>
    <row r="194" spans="1:6" x14ac:dyDescent="0.35">
      <c r="A194" s="4"/>
      <c r="B194" s="4"/>
      <c r="C194" s="4"/>
      <c r="D194" s="4"/>
      <c r="E194" s="4"/>
      <c r="F194" s="4"/>
    </row>
    <row r="195" spans="1:6" x14ac:dyDescent="0.35">
      <c r="A195" s="4"/>
      <c r="B195" s="4"/>
      <c r="C195" s="4"/>
      <c r="D195" s="4"/>
      <c r="E195" s="4"/>
      <c r="F195" s="4"/>
    </row>
    <row r="196" spans="1:6" x14ac:dyDescent="0.35">
      <c r="A196" s="4"/>
      <c r="B196" s="4"/>
      <c r="C196" s="4"/>
      <c r="D196" s="4"/>
      <c r="E196" s="4"/>
      <c r="F196" s="4"/>
    </row>
    <row r="197" spans="1:6" x14ac:dyDescent="0.35">
      <c r="A197" s="4"/>
      <c r="B197" s="4"/>
      <c r="C197" s="4"/>
      <c r="D197" s="4"/>
      <c r="E197" s="4"/>
      <c r="F197" s="4"/>
    </row>
    <row r="198" spans="1:6" x14ac:dyDescent="0.35">
      <c r="A198" s="4"/>
      <c r="B198" s="4"/>
      <c r="C198" s="4"/>
      <c r="D198" s="4"/>
      <c r="E198" s="4"/>
      <c r="F198" s="4"/>
    </row>
    <row r="199" spans="1:6" x14ac:dyDescent="0.35">
      <c r="A199" s="4"/>
      <c r="B199" s="4"/>
      <c r="C199" s="4"/>
      <c r="D199" s="4"/>
      <c r="E199" s="4"/>
      <c r="F199" s="4"/>
    </row>
    <row r="200" spans="1:6" x14ac:dyDescent="0.35">
      <c r="A200" s="4"/>
      <c r="B200" s="4"/>
      <c r="C200" s="4"/>
      <c r="D200" s="4"/>
      <c r="E200" s="4"/>
      <c r="F200" s="4"/>
    </row>
    <row r="201" spans="1:6" x14ac:dyDescent="0.35">
      <c r="A201" s="4"/>
      <c r="B201" s="4"/>
      <c r="C201" s="4"/>
      <c r="D201" s="4"/>
      <c r="E201" s="4"/>
      <c r="F201" s="4"/>
    </row>
    <row r="202" spans="1:6" x14ac:dyDescent="0.35">
      <c r="A202" s="4"/>
      <c r="B202" s="4"/>
      <c r="C202" s="4"/>
      <c r="D202" s="4"/>
      <c r="E202" s="4"/>
      <c r="F202" s="4"/>
    </row>
    <row r="203" spans="1:6" x14ac:dyDescent="0.35">
      <c r="A203" s="4"/>
      <c r="B203" s="4"/>
      <c r="C203" s="4"/>
      <c r="D203" s="4"/>
      <c r="E203" s="4"/>
      <c r="F203" s="4"/>
    </row>
    <row r="204" spans="1:6" x14ac:dyDescent="0.35">
      <c r="A204" s="4"/>
      <c r="B204" s="4"/>
      <c r="C204" s="4"/>
      <c r="D204" s="4"/>
      <c r="E204" s="4"/>
      <c r="F204" s="4"/>
    </row>
    <row r="205" spans="1:6" x14ac:dyDescent="0.35">
      <c r="A205" s="4"/>
      <c r="B205" s="4"/>
      <c r="C205" s="4"/>
      <c r="D205" s="4"/>
      <c r="E205" s="4"/>
      <c r="F205" s="4"/>
    </row>
    <row r="206" spans="1:6" x14ac:dyDescent="0.35">
      <c r="A206" s="4"/>
      <c r="B206" s="4"/>
      <c r="C206" s="4"/>
      <c r="D206" s="4"/>
      <c r="E206" s="4"/>
      <c r="F206" s="4"/>
    </row>
    <row r="207" spans="1:6" x14ac:dyDescent="0.35">
      <c r="A207" s="4"/>
      <c r="B207" s="4"/>
      <c r="C207" s="4"/>
      <c r="D207" s="4"/>
      <c r="E207" s="4"/>
      <c r="F207" s="4"/>
    </row>
    <row r="208" spans="1:6" x14ac:dyDescent="0.35">
      <c r="A208" s="4"/>
      <c r="B208" s="4"/>
      <c r="C208" s="4"/>
      <c r="D208" s="4"/>
      <c r="E208" s="4"/>
      <c r="F208" s="4"/>
    </row>
    <row r="209" spans="1:6" x14ac:dyDescent="0.35">
      <c r="A209" s="4"/>
      <c r="B209" s="4"/>
      <c r="C209" s="4"/>
      <c r="D209" s="4"/>
      <c r="E209" s="4"/>
      <c r="F209" s="4"/>
    </row>
    <row r="210" spans="1:6" x14ac:dyDescent="0.35">
      <c r="A210" s="4"/>
      <c r="B210" s="4"/>
      <c r="C210" s="4"/>
      <c r="D210" s="4"/>
      <c r="E210" s="4"/>
      <c r="F210" s="4"/>
    </row>
    <row r="211" spans="1:6" x14ac:dyDescent="0.35">
      <c r="A211" s="4"/>
      <c r="B211" s="4"/>
      <c r="C211" s="4"/>
      <c r="D211" s="4"/>
      <c r="E211" s="4"/>
      <c r="F211" s="4"/>
    </row>
    <row r="212" spans="1:6" x14ac:dyDescent="0.35">
      <c r="A212" s="4"/>
      <c r="B212" s="4"/>
      <c r="C212" s="4"/>
      <c r="D212" s="4"/>
      <c r="E212" s="4"/>
      <c r="F212" s="4"/>
    </row>
    <row r="213" spans="1:6" x14ac:dyDescent="0.35">
      <c r="A213" s="4"/>
      <c r="B213" s="4"/>
      <c r="C213" s="4"/>
      <c r="D213" s="4"/>
      <c r="E213" s="4"/>
      <c r="F213" s="4"/>
    </row>
    <row r="214" spans="1:6" x14ac:dyDescent="0.35">
      <c r="A214" s="4"/>
      <c r="B214" s="4"/>
      <c r="C214" s="4"/>
      <c r="D214" s="4"/>
      <c r="E214" s="4"/>
      <c r="F214" s="4"/>
    </row>
    <row r="215" spans="1:6" x14ac:dyDescent="0.35">
      <c r="A215" s="4"/>
      <c r="B215" s="4"/>
      <c r="C215" s="4"/>
      <c r="D215" s="4"/>
      <c r="E215" s="4"/>
      <c r="F215" s="4"/>
    </row>
    <row r="216" spans="1:6" x14ac:dyDescent="0.35">
      <c r="A216" s="4"/>
      <c r="B216" s="4"/>
      <c r="C216" s="4"/>
      <c r="D216" s="4"/>
      <c r="E216" s="4"/>
      <c r="F216" s="4"/>
    </row>
    <row r="217" spans="1:6" x14ac:dyDescent="0.35">
      <c r="A217" s="4"/>
      <c r="B217" s="4"/>
      <c r="C217" s="4"/>
      <c r="D217" s="4"/>
      <c r="E217" s="4"/>
      <c r="F217" s="4"/>
    </row>
    <row r="218" spans="1:6" x14ac:dyDescent="0.35">
      <c r="A218" s="4"/>
      <c r="B218" s="4"/>
      <c r="C218" s="4"/>
      <c r="D218" s="4"/>
      <c r="E218" s="4"/>
      <c r="F218" s="4"/>
    </row>
    <row r="219" spans="1:6" x14ac:dyDescent="0.35">
      <c r="A219" s="4"/>
      <c r="B219" s="4"/>
      <c r="C219" s="4"/>
      <c r="D219" s="4"/>
      <c r="E219" s="4"/>
      <c r="F219" s="4"/>
    </row>
    <row r="220" spans="1:6" x14ac:dyDescent="0.35">
      <c r="A220" s="4"/>
      <c r="B220" s="4"/>
      <c r="C220" s="4"/>
      <c r="D220" s="4"/>
      <c r="E220" s="4"/>
      <c r="F220" s="4"/>
    </row>
    <row r="221" spans="1:6" x14ac:dyDescent="0.35">
      <c r="A221" s="4"/>
      <c r="B221" s="4"/>
      <c r="C221" s="4"/>
      <c r="D221" s="4"/>
      <c r="E221" s="4"/>
      <c r="F221" s="4"/>
    </row>
    <row r="222" spans="1:6" x14ac:dyDescent="0.35">
      <c r="A222" s="4"/>
      <c r="B222" s="4"/>
      <c r="C222" s="4"/>
      <c r="D222" s="4"/>
      <c r="E222" s="4"/>
      <c r="F222" s="4"/>
    </row>
    <row r="223" spans="1:6" x14ac:dyDescent="0.35">
      <c r="A223" s="4"/>
      <c r="B223" s="4"/>
      <c r="C223" s="4"/>
      <c r="D223" s="4"/>
      <c r="E223" s="4"/>
      <c r="F223" s="4"/>
    </row>
    <row r="224" spans="1:6" x14ac:dyDescent="0.35">
      <c r="A224" s="4"/>
      <c r="B224" s="4"/>
      <c r="C224" s="4"/>
      <c r="D224" s="4"/>
      <c r="E224" s="4"/>
      <c r="F224" s="4"/>
    </row>
    <row r="225" spans="1:6" x14ac:dyDescent="0.35">
      <c r="A225" s="4"/>
      <c r="B225" s="4"/>
      <c r="C225" s="4"/>
      <c r="D225" s="4"/>
      <c r="E225" s="4"/>
      <c r="F225" s="4"/>
    </row>
    <row r="226" spans="1:6" x14ac:dyDescent="0.35">
      <c r="A226" s="4"/>
      <c r="B226" s="4"/>
      <c r="C226" s="4"/>
      <c r="D226" s="4"/>
      <c r="E226" s="4"/>
      <c r="F226" s="4"/>
    </row>
    <row r="227" spans="1:6" x14ac:dyDescent="0.35">
      <c r="A227" s="4"/>
      <c r="B227" s="4"/>
      <c r="C227" s="4"/>
      <c r="D227" s="4"/>
      <c r="E227" s="4"/>
      <c r="F227" s="4"/>
    </row>
    <row r="228" spans="1:6" x14ac:dyDescent="0.35">
      <c r="A228" s="4"/>
      <c r="B228" s="4"/>
      <c r="C228" s="4"/>
      <c r="D228" s="4"/>
      <c r="E228" s="4"/>
      <c r="F228" s="4"/>
    </row>
    <row r="229" spans="1:6" x14ac:dyDescent="0.35">
      <c r="A229" s="4"/>
      <c r="B229" s="4"/>
      <c r="C229" s="4"/>
      <c r="D229" s="4"/>
      <c r="E229" s="4"/>
      <c r="F229" s="4"/>
    </row>
    <row r="230" spans="1:6" x14ac:dyDescent="0.35">
      <c r="A230" s="4"/>
      <c r="B230" s="4"/>
      <c r="C230" s="4"/>
      <c r="D230" s="4"/>
      <c r="E230" s="4"/>
      <c r="F230" s="4"/>
    </row>
    <row r="231" spans="1:6" x14ac:dyDescent="0.35">
      <c r="A231" s="4"/>
      <c r="B231" s="4"/>
      <c r="C231" s="4"/>
      <c r="D231" s="4"/>
      <c r="E231" s="4"/>
      <c r="F231" s="4"/>
    </row>
    <row r="232" spans="1:6" x14ac:dyDescent="0.35">
      <c r="A232" s="4"/>
      <c r="B232" s="4"/>
      <c r="C232" s="4"/>
      <c r="D232" s="4"/>
      <c r="E232" s="4"/>
      <c r="F232" s="4"/>
    </row>
    <row r="233" spans="1:6" x14ac:dyDescent="0.35">
      <c r="A233" s="4"/>
      <c r="B233" s="4"/>
      <c r="C233" s="4"/>
      <c r="D233" s="4"/>
      <c r="E233" s="4"/>
      <c r="F233" s="4"/>
    </row>
    <row r="234" spans="1:6" x14ac:dyDescent="0.35">
      <c r="A234" s="4"/>
      <c r="B234" s="4"/>
      <c r="C234" s="4"/>
      <c r="D234" s="4"/>
      <c r="E234" s="4"/>
      <c r="F234" s="4"/>
    </row>
    <row r="235" spans="1:6" x14ac:dyDescent="0.35">
      <c r="A235" s="4"/>
      <c r="B235" s="4"/>
      <c r="C235" s="4"/>
      <c r="D235" s="4"/>
      <c r="E235" s="4"/>
      <c r="F235" s="4"/>
    </row>
    <row r="236" spans="1:6" x14ac:dyDescent="0.35">
      <c r="A236" s="4"/>
      <c r="B236" s="4"/>
      <c r="C236" s="4"/>
      <c r="D236" s="4"/>
      <c r="E236" s="4"/>
      <c r="F236" s="4"/>
    </row>
    <row r="237" spans="1:6" x14ac:dyDescent="0.35">
      <c r="A237" s="4"/>
      <c r="B237" s="4"/>
      <c r="C237" s="4"/>
      <c r="D237" s="4"/>
      <c r="E237" s="4"/>
      <c r="F237" s="4"/>
    </row>
    <row r="238" spans="1:6" x14ac:dyDescent="0.35">
      <c r="A238" s="4"/>
      <c r="B238" s="4"/>
      <c r="C238" s="4"/>
      <c r="D238" s="4"/>
      <c r="E238" s="4"/>
      <c r="F238" s="4"/>
    </row>
    <row r="239" spans="1:6" x14ac:dyDescent="0.35">
      <c r="A239" s="4"/>
      <c r="B239" s="4"/>
      <c r="C239" s="4"/>
      <c r="D239" s="4"/>
      <c r="E239" s="4"/>
      <c r="F239" s="4"/>
    </row>
    <row r="240" spans="1:6" x14ac:dyDescent="0.35">
      <c r="A240" s="4"/>
      <c r="B240" s="4"/>
      <c r="C240" s="4"/>
      <c r="D240" s="4"/>
      <c r="E240" s="4"/>
      <c r="F240" s="4"/>
    </row>
    <row r="241" spans="1:6" x14ac:dyDescent="0.35">
      <c r="A241" s="4"/>
      <c r="B241" s="4"/>
      <c r="C241" s="4"/>
      <c r="D241" s="4"/>
      <c r="E241" s="4"/>
      <c r="F241" s="4"/>
    </row>
    <row r="242" spans="1:6" x14ac:dyDescent="0.35">
      <c r="A242" s="4"/>
      <c r="B242" s="4"/>
      <c r="C242" s="4"/>
      <c r="D242" s="4"/>
      <c r="E242" s="4"/>
      <c r="F242" s="4"/>
    </row>
    <row r="243" spans="1:6" x14ac:dyDescent="0.35">
      <c r="A243" s="4"/>
      <c r="B243" s="4"/>
      <c r="C243" s="4"/>
      <c r="D243" s="4"/>
      <c r="E243" s="4"/>
      <c r="F243" s="4"/>
    </row>
    <row r="244" spans="1:6" x14ac:dyDescent="0.35">
      <c r="A244" s="4"/>
      <c r="B244" s="4"/>
      <c r="C244" s="4"/>
      <c r="D244" s="4"/>
      <c r="E244" s="4"/>
      <c r="F244" s="4"/>
    </row>
    <row r="245" spans="1:6" x14ac:dyDescent="0.35">
      <c r="A245" s="4"/>
      <c r="B245" s="4"/>
      <c r="C245" s="4"/>
      <c r="D245" s="4"/>
      <c r="E245" s="4"/>
      <c r="F245" s="4"/>
    </row>
    <row r="246" spans="1:6" x14ac:dyDescent="0.35">
      <c r="A246" s="4"/>
      <c r="B246" s="4"/>
      <c r="C246" s="4"/>
      <c r="D246" s="4"/>
      <c r="E246" s="4"/>
      <c r="F246" s="4"/>
    </row>
    <row r="247" spans="1:6" x14ac:dyDescent="0.35">
      <c r="A247" s="4"/>
      <c r="B247" s="4"/>
      <c r="C247" s="4"/>
      <c r="D247" s="4"/>
      <c r="E247" s="4"/>
      <c r="F247" s="4"/>
    </row>
    <row r="248" spans="1:6" x14ac:dyDescent="0.35">
      <c r="A248" s="4"/>
      <c r="B248" s="4"/>
      <c r="C248" s="4"/>
      <c r="D248" s="4"/>
      <c r="E248" s="4"/>
      <c r="F248" s="4"/>
    </row>
    <row r="249" spans="1:6" x14ac:dyDescent="0.35">
      <c r="A249" s="4"/>
      <c r="B249" s="4"/>
      <c r="C249" s="4"/>
      <c r="D249" s="4"/>
      <c r="E249" s="4"/>
      <c r="F249" s="4"/>
    </row>
    <row r="250" spans="1:6" x14ac:dyDescent="0.35">
      <c r="A250" s="4"/>
      <c r="B250" s="4"/>
      <c r="C250" s="4"/>
      <c r="D250" s="4"/>
      <c r="E250" s="4"/>
      <c r="F250" s="4"/>
    </row>
    <row r="251" spans="1:6" x14ac:dyDescent="0.35">
      <c r="A251" s="4"/>
      <c r="B251" s="4"/>
      <c r="C251" s="4"/>
      <c r="D251" s="4"/>
      <c r="E251" s="4"/>
      <c r="F251" s="4"/>
    </row>
    <row r="252" spans="1:6" x14ac:dyDescent="0.35">
      <c r="A252" s="4"/>
      <c r="B252" s="4"/>
      <c r="C252" s="4"/>
      <c r="D252" s="4"/>
      <c r="E252" s="4"/>
      <c r="F252" s="4"/>
    </row>
    <row r="253" spans="1:6" x14ac:dyDescent="0.35">
      <c r="A253" s="4"/>
      <c r="B253" s="4"/>
      <c r="C253" s="4"/>
      <c r="D253" s="4"/>
      <c r="E253" s="4"/>
      <c r="F253" s="4"/>
    </row>
    <row r="254" spans="1:6" x14ac:dyDescent="0.35">
      <c r="A254" s="4"/>
      <c r="B254" s="4"/>
      <c r="C254" s="4"/>
      <c r="D254" s="4"/>
      <c r="E254" s="4"/>
      <c r="F254" s="4"/>
    </row>
    <row r="255" spans="1:6" x14ac:dyDescent="0.35">
      <c r="A255" s="4"/>
      <c r="B255" s="4"/>
      <c r="C255" s="4"/>
      <c r="D255" s="4"/>
      <c r="E255" s="4"/>
      <c r="F255" s="4"/>
    </row>
    <row r="256" spans="1:6" x14ac:dyDescent="0.35">
      <c r="A256" s="4"/>
      <c r="B256" s="4"/>
      <c r="C256" s="4"/>
      <c r="D256" s="4"/>
      <c r="E256" s="4"/>
      <c r="F256" s="4"/>
    </row>
    <row r="257" spans="1:6" x14ac:dyDescent="0.35">
      <c r="A257" s="4"/>
      <c r="B257" s="4"/>
      <c r="C257" s="4"/>
      <c r="D257" s="4"/>
      <c r="E257" s="4"/>
      <c r="F257" s="4"/>
    </row>
    <row r="258" spans="1:6" x14ac:dyDescent="0.35">
      <c r="A258" s="4"/>
      <c r="B258" s="4"/>
      <c r="C258" s="4"/>
      <c r="D258" s="4"/>
      <c r="E258" s="4"/>
      <c r="F258" s="4"/>
    </row>
    <row r="259" spans="1:6" x14ac:dyDescent="0.35">
      <c r="A259" s="4"/>
      <c r="B259" s="4"/>
      <c r="C259" s="4"/>
      <c r="D259" s="4"/>
      <c r="E259" s="4"/>
      <c r="F259" s="4"/>
    </row>
    <row r="260" spans="1:6" x14ac:dyDescent="0.35">
      <c r="A260" s="4"/>
      <c r="B260" s="4"/>
      <c r="C260" s="4"/>
      <c r="D260" s="4"/>
      <c r="E260" s="4"/>
      <c r="F260" s="4"/>
    </row>
    <row r="261" spans="1:6" x14ac:dyDescent="0.35">
      <c r="A261" s="4"/>
      <c r="B261" s="4"/>
      <c r="C261" s="4"/>
      <c r="D261" s="4"/>
      <c r="E261" s="4"/>
      <c r="F261" s="4"/>
    </row>
    <row r="262" spans="1:6" x14ac:dyDescent="0.35">
      <c r="A262" s="4"/>
      <c r="B262" s="4"/>
      <c r="C262" s="4"/>
      <c r="D262" s="4"/>
      <c r="E262" s="4"/>
      <c r="F262" s="4"/>
    </row>
    <row r="263" spans="1:6" x14ac:dyDescent="0.35">
      <c r="A263" s="4"/>
      <c r="B263" s="4"/>
      <c r="C263" s="4"/>
      <c r="D263" s="4"/>
      <c r="E263" s="4"/>
      <c r="F263" s="4"/>
    </row>
    <row r="264" spans="1:6" x14ac:dyDescent="0.35">
      <c r="A264" s="4"/>
      <c r="B264" s="4"/>
      <c r="C264" s="4"/>
      <c r="D264" s="4"/>
      <c r="E264" s="4"/>
      <c r="F264" s="4"/>
    </row>
    <row r="265" spans="1:6" x14ac:dyDescent="0.35">
      <c r="A265" s="4"/>
      <c r="B265" s="4"/>
      <c r="C265" s="4"/>
      <c r="D265" s="4"/>
      <c r="E265" s="4"/>
      <c r="F265" s="4"/>
    </row>
    <row r="266" spans="1:6" x14ac:dyDescent="0.35">
      <c r="A266" s="4"/>
      <c r="B266" s="4"/>
      <c r="C266" s="4"/>
      <c r="D266" s="4"/>
      <c r="E266" s="4"/>
      <c r="F266" s="4"/>
    </row>
    <row r="267" spans="1:6" x14ac:dyDescent="0.35">
      <c r="A267" s="4"/>
      <c r="B267" s="4"/>
      <c r="C267" s="4"/>
      <c r="D267" s="4"/>
      <c r="E267" s="4"/>
      <c r="F267" s="4"/>
    </row>
    <row r="268" spans="1:6" x14ac:dyDescent="0.35">
      <c r="A268" s="4"/>
      <c r="B268" s="4"/>
      <c r="C268" s="4"/>
      <c r="D268" s="4"/>
      <c r="E268" s="4"/>
      <c r="F268" s="4"/>
    </row>
    <row r="269" spans="1:6" x14ac:dyDescent="0.35">
      <c r="A269" s="4"/>
      <c r="B269" s="4"/>
      <c r="C269" s="4"/>
      <c r="D269" s="4"/>
      <c r="E269" s="4"/>
      <c r="F269" s="4"/>
    </row>
    <row r="270" spans="1:6" x14ac:dyDescent="0.35">
      <c r="A270" s="4"/>
      <c r="B270" s="4"/>
      <c r="C270" s="4"/>
      <c r="D270" s="4"/>
      <c r="E270" s="4"/>
      <c r="F270" s="4"/>
    </row>
    <row r="271" spans="1:6" x14ac:dyDescent="0.35">
      <c r="A271" s="4"/>
      <c r="B271" s="4"/>
      <c r="C271" s="4"/>
      <c r="D271" s="4"/>
      <c r="E271" s="4"/>
      <c r="F271" s="4"/>
    </row>
    <row r="272" spans="1:6" x14ac:dyDescent="0.35">
      <c r="A272" s="4"/>
      <c r="B272" s="4"/>
      <c r="C272" s="4"/>
      <c r="D272" s="4"/>
      <c r="E272" s="4"/>
      <c r="F272" s="4"/>
    </row>
    <row r="273" spans="1:6" x14ac:dyDescent="0.35">
      <c r="A273" s="4"/>
      <c r="B273" s="4"/>
      <c r="C273" s="4"/>
      <c r="D273" s="4"/>
      <c r="E273" s="4"/>
      <c r="F273" s="4"/>
    </row>
    <row r="274" spans="1:6" x14ac:dyDescent="0.35">
      <c r="A274" s="4"/>
      <c r="B274" s="4"/>
      <c r="C274" s="4"/>
      <c r="D274" s="4"/>
      <c r="E274" s="4"/>
      <c r="F274" s="4"/>
    </row>
    <row r="275" spans="1:6" x14ac:dyDescent="0.35">
      <c r="A275" s="4"/>
      <c r="B275" s="4"/>
      <c r="C275" s="4"/>
      <c r="D275" s="4"/>
      <c r="E275" s="4"/>
      <c r="F275" s="4"/>
    </row>
    <row r="276" spans="1:6" x14ac:dyDescent="0.35">
      <c r="A276" s="4"/>
      <c r="B276" s="4"/>
      <c r="C276" s="4"/>
      <c r="D276" s="4"/>
      <c r="E276" s="4"/>
      <c r="F276" s="4"/>
    </row>
    <row r="277" spans="1:6" x14ac:dyDescent="0.35">
      <c r="A277" s="4"/>
      <c r="B277" s="4"/>
      <c r="C277" s="4"/>
      <c r="D277" s="4"/>
      <c r="E277" s="4"/>
      <c r="F277" s="4"/>
    </row>
    <row r="278" spans="1:6" x14ac:dyDescent="0.35">
      <c r="A278" s="4"/>
      <c r="B278" s="4"/>
      <c r="C278" s="4"/>
      <c r="D278" s="4"/>
      <c r="E278" s="4"/>
      <c r="F278" s="4"/>
    </row>
    <row r="279" spans="1:6" x14ac:dyDescent="0.35">
      <c r="A279" s="4"/>
      <c r="B279" s="4"/>
      <c r="C279" s="4"/>
      <c r="D279" s="4"/>
      <c r="E279" s="4"/>
      <c r="F279" s="4"/>
    </row>
    <row r="280" spans="1:6" x14ac:dyDescent="0.35">
      <c r="A280" s="4"/>
      <c r="B280" s="4"/>
      <c r="C280" s="4"/>
      <c r="D280" s="4"/>
      <c r="E280" s="4"/>
      <c r="F280" s="4"/>
    </row>
    <row r="281" spans="1:6" x14ac:dyDescent="0.35">
      <c r="A281" s="4"/>
      <c r="B281" s="4"/>
      <c r="C281" s="4"/>
      <c r="D281" s="4"/>
      <c r="E281" s="4"/>
      <c r="F281" s="4"/>
    </row>
    <row r="282" spans="1:6" x14ac:dyDescent="0.35">
      <c r="A282" s="4"/>
      <c r="B282" s="4"/>
      <c r="C282" s="4"/>
      <c r="D282" s="4"/>
      <c r="E282" s="4"/>
      <c r="F282" s="4"/>
    </row>
    <row r="283" spans="1:6" x14ac:dyDescent="0.35">
      <c r="A283" s="4"/>
      <c r="B283" s="4"/>
      <c r="C283" s="4"/>
      <c r="D283" s="4"/>
      <c r="E283" s="4"/>
      <c r="F283" s="4"/>
    </row>
    <row r="284" spans="1:6" x14ac:dyDescent="0.35">
      <c r="A284" s="4"/>
      <c r="B284" s="4"/>
      <c r="C284" s="4"/>
      <c r="D284" s="4"/>
      <c r="E284" s="4"/>
      <c r="F284" s="4"/>
    </row>
    <row r="285" spans="1:6" x14ac:dyDescent="0.35">
      <c r="A285" s="4"/>
      <c r="B285" s="4"/>
      <c r="C285" s="4"/>
      <c r="D285" s="4"/>
      <c r="E285" s="4"/>
      <c r="F285" s="4"/>
    </row>
    <row r="286" spans="1:6" x14ac:dyDescent="0.35">
      <c r="A286" s="4"/>
      <c r="B286" s="4"/>
      <c r="C286" s="4"/>
      <c r="D286" s="4"/>
      <c r="E286" s="4"/>
      <c r="F286" s="4"/>
    </row>
    <row r="287" spans="1:6" x14ac:dyDescent="0.35">
      <c r="A287" s="4"/>
      <c r="B287" s="4"/>
      <c r="C287" s="4"/>
      <c r="D287" s="4"/>
      <c r="E287" s="4"/>
      <c r="F287" s="4"/>
    </row>
    <row r="288" spans="1:6" x14ac:dyDescent="0.35">
      <c r="A288" s="4"/>
      <c r="B288" s="4"/>
      <c r="C288" s="4"/>
      <c r="D288" s="4"/>
      <c r="E288" s="4"/>
      <c r="F288" s="4"/>
    </row>
    <row r="289" spans="1:6" x14ac:dyDescent="0.35">
      <c r="A289" s="4"/>
      <c r="B289" s="4"/>
      <c r="C289" s="4"/>
      <c r="D289" s="4"/>
      <c r="E289" s="4"/>
      <c r="F289" s="4"/>
    </row>
    <row r="290" spans="1:6" x14ac:dyDescent="0.35">
      <c r="A290" s="4"/>
      <c r="B290" s="4"/>
      <c r="C290" s="4"/>
      <c r="D290" s="4"/>
      <c r="E290" s="4"/>
      <c r="F290" s="4"/>
    </row>
    <row r="291" spans="1:6" x14ac:dyDescent="0.35">
      <c r="A291" s="4"/>
      <c r="B291" s="4"/>
      <c r="C291" s="4"/>
      <c r="D291" s="4"/>
      <c r="E291" s="4"/>
      <c r="F291" s="4"/>
    </row>
    <row r="292" spans="1:6" x14ac:dyDescent="0.35">
      <c r="A292" s="4"/>
      <c r="B292" s="4"/>
      <c r="C292" s="4"/>
      <c r="D292" s="4"/>
      <c r="E292" s="4"/>
      <c r="F292" s="4"/>
    </row>
    <row r="293" spans="1:6" x14ac:dyDescent="0.35">
      <c r="A293" s="4"/>
      <c r="B293" s="4"/>
      <c r="C293" s="4"/>
      <c r="D293" s="4"/>
      <c r="E293" s="4"/>
      <c r="F293" s="4"/>
    </row>
    <row r="294" spans="1:6" x14ac:dyDescent="0.35">
      <c r="A294" s="4"/>
      <c r="B294" s="4"/>
      <c r="C294" s="4"/>
      <c r="D294" s="4"/>
      <c r="E294" s="4"/>
      <c r="F294" s="4"/>
    </row>
    <row r="295" spans="1:6" x14ac:dyDescent="0.35">
      <c r="A295" s="4"/>
      <c r="B295" s="4"/>
      <c r="C295" s="4"/>
      <c r="D295" s="4"/>
      <c r="E295" s="4"/>
      <c r="F295" s="4"/>
    </row>
    <row r="296" spans="1:6" x14ac:dyDescent="0.35">
      <c r="A296" s="4"/>
      <c r="B296" s="4"/>
      <c r="C296" s="4"/>
      <c r="D296" s="4"/>
      <c r="E296" s="4"/>
      <c r="F296" s="4"/>
    </row>
    <row r="297" spans="1:6" x14ac:dyDescent="0.35">
      <c r="A297" s="4"/>
      <c r="B297" s="4"/>
      <c r="C297" s="4"/>
      <c r="D297" s="4"/>
      <c r="E297" s="4"/>
      <c r="F297" s="4"/>
    </row>
    <row r="298" spans="1:6" x14ac:dyDescent="0.35">
      <c r="A298" s="4"/>
      <c r="B298" s="4"/>
      <c r="C298" s="4"/>
      <c r="D298" s="4"/>
      <c r="E298" s="4"/>
      <c r="F298" s="4"/>
    </row>
    <row r="299" spans="1:6" x14ac:dyDescent="0.35">
      <c r="A299" s="4"/>
      <c r="B299" s="4"/>
      <c r="C299" s="4"/>
      <c r="D299" s="4"/>
      <c r="E299" s="4"/>
      <c r="F299" s="4"/>
    </row>
    <row r="300" spans="1:6" x14ac:dyDescent="0.35">
      <c r="A300" s="4"/>
      <c r="B300" s="4"/>
      <c r="C300" s="4"/>
      <c r="D300" s="4"/>
      <c r="E300" s="4"/>
      <c r="F300" s="4"/>
    </row>
    <row r="301" spans="1:6" x14ac:dyDescent="0.35">
      <c r="A301" s="4"/>
      <c r="B301" s="4"/>
      <c r="C301" s="4"/>
      <c r="D301" s="4"/>
      <c r="E301" s="4"/>
      <c r="F301" s="4"/>
    </row>
  </sheetData>
  <conditionalFormatting sqref="A3:F301">
    <cfRule type="expression" dxfId="9" priority="2">
      <formula>MOD(ROW(),2)=0</formula>
    </cfRule>
  </conditionalFormatting>
  <dataValidations count="2">
    <dataValidation type="list" allowBlank="1" sqref="E3:E301" xr:uid="{00000000-0002-0000-0000-000001000000}">
      <formula1>"Connected,Voicemail,No Answer,Appointment Set,Not Interested"</formula1>
      <formula2>0</formula2>
    </dataValidation>
    <dataValidation type="list" allowBlank="1" sqref="D1:D1048576" xr:uid="{88D293BB-4E87-4626-87DB-BFB8A703D18D}">
      <formula1>"Warm Market,Referral,Cold,Social Media,Friend,Other"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88A"/>
  </sheetPr>
  <dimension ref="A1:G3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18" customWidth="1"/>
    <col min="4" max="4" width="16" customWidth="1"/>
    <col min="5" max="5" width="18" customWidth="1"/>
    <col min="6" max="6" width="15" customWidth="1"/>
    <col min="7" max="7" width="32" customWidth="1"/>
  </cols>
  <sheetData>
    <row r="1" spans="1:7" x14ac:dyDescent="0.35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5</v>
      </c>
    </row>
    <row r="2" spans="1:7" x14ac:dyDescent="0.35">
      <c r="A2" s="3" t="s">
        <v>16</v>
      </c>
      <c r="B2" s="3" t="s">
        <v>7</v>
      </c>
      <c r="C2" s="3" t="s">
        <v>17</v>
      </c>
      <c r="D2" s="3" t="s">
        <v>18</v>
      </c>
      <c r="E2" s="5">
        <v>85</v>
      </c>
      <c r="F2" s="3">
        <v>1</v>
      </c>
      <c r="G2" s="3" t="s">
        <v>19</v>
      </c>
    </row>
    <row r="3" spans="1:7" x14ac:dyDescent="0.35">
      <c r="A3" s="4"/>
      <c r="B3" s="4"/>
      <c r="C3" s="4"/>
      <c r="D3" s="4"/>
      <c r="E3" s="6"/>
      <c r="F3" s="4"/>
      <c r="G3" s="4"/>
    </row>
    <row r="4" spans="1:7" x14ac:dyDescent="0.35">
      <c r="A4" s="4"/>
      <c r="B4" s="4"/>
      <c r="C4" s="4"/>
      <c r="D4" s="4"/>
      <c r="E4" s="6"/>
      <c r="F4" s="4"/>
      <c r="G4" s="4"/>
    </row>
    <row r="5" spans="1:7" x14ac:dyDescent="0.35">
      <c r="A5" s="4"/>
      <c r="B5" s="4"/>
      <c r="C5" s="4"/>
      <c r="D5" s="4"/>
      <c r="E5" s="6"/>
      <c r="F5" s="4"/>
      <c r="G5" s="4"/>
    </row>
    <row r="6" spans="1:7" x14ac:dyDescent="0.35">
      <c r="A6" s="4"/>
      <c r="B6" s="4"/>
      <c r="C6" s="4"/>
      <c r="D6" s="4"/>
      <c r="E6" s="6"/>
      <c r="F6" s="4"/>
      <c r="G6" s="4"/>
    </row>
    <row r="7" spans="1:7" x14ac:dyDescent="0.35">
      <c r="A7" s="4"/>
      <c r="B7" s="4"/>
      <c r="C7" s="4"/>
      <c r="D7" s="4"/>
      <c r="E7" s="6"/>
      <c r="F7" s="4"/>
      <c r="G7" s="4"/>
    </row>
    <row r="8" spans="1:7" x14ac:dyDescent="0.35">
      <c r="A8" s="4"/>
      <c r="B8" s="4"/>
      <c r="C8" s="4"/>
      <c r="D8" s="4"/>
      <c r="E8" s="6"/>
      <c r="F8" s="4"/>
      <c r="G8" s="4"/>
    </row>
    <row r="9" spans="1:7" x14ac:dyDescent="0.35">
      <c r="A9" s="4"/>
      <c r="B9" s="4"/>
      <c r="C9" s="4"/>
      <c r="D9" s="4"/>
      <c r="E9" s="6"/>
      <c r="F9" s="4"/>
      <c r="G9" s="4"/>
    </row>
    <row r="10" spans="1:7" x14ac:dyDescent="0.35">
      <c r="A10" s="4"/>
      <c r="B10" s="4"/>
      <c r="C10" s="4"/>
      <c r="D10" s="4"/>
      <c r="E10" s="6"/>
      <c r="F10" s="4"/>
      <c r="G10" s="4"/>
    </row>
    <row r="11" spans="1:7" x14ac:dyDescent="0.35">
      <c r="A11" s="4"/>
      <c r="B11" s="4"/>
      <c r="C11" s="4"/>
      <c r="D11" s="4"/>
      <c r="E11" s="6"/>
      <c r="F11" s="4"/>
      <c r="G11" s="4"/>
    </row>
    <row r="12" spans="1:7" x14ac:dyDescent="0.35">
      <c r="A12" s="4"/>
      <c r="B12" s="4"/>
      <c r="C12" s="4"/>
      <c r="D12" s="4"/>
      <c r="E12" s="6"/>
      <c r="F12" s="4"/>
      <c r="G12" s="4"/>
    </row>
    <row r="13" spans="1:7" x14ac:dyDescent="0.35">
      <c r="A13" s="4"/>
      <c r="B13" s="4"/>
      <c r="C13" s="4"/>
      <c r="D13" s="4"/>
      <c r="E13" s="6"/>
      <c r="F13" s="4"/>
      <c r="G13" s="4"/>
    </row>
    <row r="14" spans="1:7" x14ac:dyDescent="0.35">
      <c r="A14" s="4"/>
      <c r="B14" s="4"/>
      <c r="C14" s="4"/>
      <c r="D14" s="4"/>
      <c r="E14" s="6"/>
      <c r="F14" s="4"/>
      <c r="G14" s="4"/>
    </row>
    <row r="15" spans="1:7" x14ac:dyDescent="0.35">
      <c r="A15" s="4"/>
      <c r="B15" s="4"/>
      <c r="C15" s="4"/>
      <c r="D15" s="4"/>
      <c r="E15" s="6"/>
      <c r="F15" s="4"/>
      <c r="G15" s="4"/>
    </row>
    <row r="16" spans="1:7" x14ac:dyDescent="0.35">
      <c r="A16" s="4"/>
      <c r="B16" s="4"/>
      <c r="C16" s="4"/>
      <c r="D16" s="4"/>
      <c r="E16" s="6"/>
      <c r="F16" s="4"/>
      <c r="G16" s="4"/>
    </row>
    <row r="17" spans="1:7" x14ac:dyDescent="0.35">
      <c r="A17" s="4"/>
      <c r="B17" s="4"/>
      <c r="C17" s="4"/>
      <c r="D17" s="4"/>
      <c r="E17" s="6"/>
      <c r="F17" s="4"/>
      <c r="G17" s="4"/>
    </row>
    <row r="18" spans="1:7" x14ac:dyDescent="0.35">
      <c r="A18" s="4"/>
      <c r="B18" s="4"/>
      <c r="C18" s="4"/>
      <c r="D18" s="4"/>
      <c r="E18" s="6"/>
      <c r="F18" s="4"/>
      <c r="G18" s="4"/>
    </row>
    <row r="19" spans="1:7" x14ac:dyDescent="0.35">
      <c r="A19" s="4"/>
      <c r="B19" s="4"/>
      <c r="C19" s="4"/>
      <c r="D19" s="4"/>
      <c r="E19" s="6"/>
      <c r="F19" s="4"/>
      <c r="G19" s="4"/>
    </row>
    <row r="20" spans="1:7" x14ac:dyDescent="0.35">
      <c r="A20" s="4"/>
      <c r="B20" s="4"/>
      <c r="C20" s="4"/>
      <c r="D20" s="4"/>
      <c r="E20" s="6"/>
      <c r="F20" s="4"/>
      <c r="G20" s="4"/>
    </row>
    <row r="21" spans="1:7" x14ac:dyDescent="0.35">
      <c r="A21" s="4"/>
      <c r="B21" s="4"/>
      <c r="C21" s="4"/>
      <c r="D21" s="4"/>
      <c r="E21" s="6"/>
      <c r="F21" s="4"/>
      <c r="G21" s="4"/>
    </row>
    <row r="22" spans="1:7" x14ac:dyDescent="0.35">
      <c r="A22" s="4"/>
      <c r="B22" s="4"/>
      <c r="C22" s="4"/>
      <c r="D22" s="4"/>
      <c r="E22" s="6"/>
      <c r="F22" s="4"/>
      <c r="G22" s="4"/>
    </row>
    <row r="23" spans="1:7" x14ac:dyDescent="0.35">
      <c r="A23" s="4"/>
      <c r="B23" s="4"/>
      <c r="C23" s="4"/>
      <c r="D23" s="4"/>
      <c r="E23" s="6"/>
      <c r="F23" s="4"/>
      <c r="G23" s="4"/>
    </row>
    <row r="24" spans="1:7" x14ac:dyDescent="0.35">
      <c r="A24" s="4"/>
      <c r="B24" s="4"/>
      <c r="C24" s="4"/>
      <c r="D24" s="4"/>
      <c r="E24" s="6"/>
      <c r="F24" s="4"/>
      <c r="G24" s="4"/>
    </row>
    <row r="25" spans="1:7" x14ac:dyDescent="0.35">
      <c r="A25" s="4"/>
      <c r="B25" s="4"/>
      <c r="C25" s="4"/>
      <c r="D25" s="4"/>
      <c r="E25" s="6"/>
      <c r="F25" s="4"/>
      <c r="G25" s="4"/>
    </row>
    <row r="26" spans="1:7" x14ac:dyDescent="0.35">
      <c r="A26" s="4"/>
      <c r="B26" s="4"/>
      <c r="C26" s="4"/>
      <c r="D26" s="4"/>
      <c r="E26" s="6"/>
      <c r="F26" s="4"/>
      <c r="G26" s="4"/>
    </row>
    <row r="27" spans="1:7" x14ac:dyDescent="0.35">
      <c r="A27" s="4"/>
      <c r="B27" s="4"/>
      <c r="C27" s="4"/>
      <c r="D27" s="4"/>
      <c r="E27" s="6"/>
      <c r="F27" s="4"/>
      <c r="G27" s="4"/>
    </row>
    <row r="28" spans="1:7" x14ac:dyDescent="0.35">
      <c r="A28" s="4"/>
      <c r="B28" s="4"/>
      <c r="C28" s="4"/>
      <c r="D28" s="4"/>
      <c r="E28" s="6"/>
      <c r="F28" s="4"/>
      <c r="G28" s="4"/>
    </row>
    <row r="29" spans="1:7" x14ac:dyDescent="0.35">
      <c r="A29" s="4"/>
      <c r="B29" s="4"/>
      <c r="C29" s="4"/>
      <c r="D29" s="4"/>
      <c r="E29" s="6"/>
      <c r="F29" s="4"/>
      <c r="G29" s="4"/>
    </row>
    <row r="30" spans="1:7" x14ac:dyDescent="0.35">
      <c r="A30" s="4"/>
      <c r="B30" s="4"/>
      <c r="C30" s="4"/>
      <c r="D30" s="4"/>
      <c r="E30" s="6"/>
      <c r="F30" s="4"/>
      <c r="G30" s="4"/>
    </row>
    <row r="31" spans="1:7" x14ac:dyDescent="0.35">
      <c r="A31" s="4"/>
      <c r="B31" s="4"/>
      <c r="C31" s="4"/>
      <c r="D31" s="4"/>
      <c r="E31" s="6"/>
      <c r="F31" s="4"/>
      <c r="G31" s="4"/>
    </row>
    <row r="32" spans="1:7" x14ac:dyDescent="0.35">
      <c r="A32" s="4"/>
      <c r="B32" s="4"/>
      <c r="C32" s="4"/>
      <c r="D32" s="4"/>
      <c r="E32" s="6"/>
      <c r="F32" s="4"/>
      <c r="G32" s="4"/>
    </row>
    <row r="33" spans="1:7" x14ac:dyDescent="0.35">
      <c r="A33" s="4"/>
      <c r="B33" s="4"/>
      <c r="C33" s="4"/>
      <c r="D33" s="4"/>
      <c r="E33" s="6"/>
      <c r="F33" s="4"/>
      <c r="G33" s="4"/>
    </row>
    <row r="34" spans="1:7" x14ac:dyDescent="0.35">
      <c r="A34" s="4"/>
      <c r="B34" s="4"/>
      <c r="C34" s="4"/>
      <c r="D34" s="4"/>
      <c r="E34" s="6"/>
      <c r="F34" s="4"/>
      <c r="G34" s="4"/>
    </row>
    <row r="35" spans="1:7" x14ac:dyDescent="0.35">
      <c r="A35" s="4"/>
      <c r="B35" s="4"/>
      <c r="C35" s="4"/>
      <c r="D35" s="4"/>
      <c r="E35" s="6"/>
      <c r="F35" s="4"/>
      <c r="G35" s="4"/>
    </row>
    <row r="36" spans="1:7" x14ac:dyDescent="0.35">
      <c r="A36" s="4"/>
      <c r="B36" s="4"/>
      <c r="C36" s="4"/>
      <c r="D36" s="4"/>
      <c r="E36" s="6"/>
      <c r="F36" s="4"/>
      <c r="G36" s="4"/>
    </row>
    <row r="37" spans="1:7" x14ac:dyDescent="0.35">
      <c r="A37" s="4"/>
      <c r="B37" s="4"/>
      <c r="C37" s="4"/>
      <c r="D37" s="4"/>
      <c r="E37" s="6"/>
      <c r="F37" s="4"/>
      <c r="G37" s="4"/>
    </row>
    <row r="38" spans="1:7" x14ac:dyDescent="0.35">
      <c r="A38" s="4"/>
      <c r="B38" s="4"/>
      <c r="C38" s="4"/>
      <c r="D38" s="4"/>
      <c r="E38" s="6"/>
      <c r="F38" s="4"/>
      <c r="G38" s="4"/>
    </row>
    <row r="39" spans="1:7" x14ac:dyDescent="0.35">
      <c r="A39" s="4"/>
      <c r="B39" s="4"/>
      <c r="C39" s="4"/>
      <c r="D39" s="4"/>
      <c r="E39" s="6"/>
      <c r="F39" s="4"/>
      <c r="G39" s="4"/>
    </row>
    <row r="40" spans="1:7" x14ac:dyDescent="0.35">
      <c r="A40" s="4"/>
      <c r="B40" s="4"/>
      <c r="C40" s="4"/>
      <c r="D40" s="4"/>
      <c r="E40" s="6"/>
      <c r="F40" s="4"/>
      <c r="G40" s="4"/>
    </row>
    <row r="41" spans="1:7" x14ac:dyDescent="0.35">
      <c r="A41" s="4"/>
      <c r="B41" s="4"/>
      <c r="C41" s="4"/>
      <c r="D41" s="4"/>
      <c r="E41" s="6"/>
      <c r="F41" s="4"/>
      <c r="G41" s="4"/>
    </row>
    <row r="42" spans="1:7" x14ac:dyDescent="0.35">
      <c r="A42" s="4"/>
      <c r="B42" s="4"/>
      <c r="C42" s="4"/>
      <c r="D42" s="4"/>
      <c r="E42" s="6"/>
      <c r="F42" s="4"/>
      <c r="G42" s="4"/>
    </row>
    <row r="43" spans="1:7" x14ac:dyDescent="0.35">
      <c r="A43" s="4"/>
      <c r="B43" s="4"/>
      <c r="C43" s="4"/>
      <c r="D43" s="4"/>
      <c r="E43" s="6"/>
      <c r="F43" s="4"/>
      <c r="G43" s="4"/>
    </row>
    <row r="44" spans="1:7" x14ac:dyDescent="0.35">
      <c r="A44" s="4"/>
      <c r="B44" s="4"/>
      <c r="C44" s="4"/>
      <c r="D44" s="4"/>
      <c r="E44" s="6"/>
      <c r="F44" s="4"/>
      <c r="G44" s="4"/>
    </row>
    <row r="45" spans="1:7" x14ac:dyDescent="0.35">
      <c r="A45" s="4"/>
      <c r="B45" s="4"/>
      <c r="C45" s="4"/>
      <c r="D45" s="4"/>
      <c r="E45" s="6"/>
      <c r="F45" s="4"/>
      <c r="G45" s="4"/>
    </row>
    <row r="46" spans="1:7" x14ac:dyDescent="0.35">
      <c r="A46" s="4"/>
      <c r="B46" s="4"/>
      <c r="C46" s="4"/>
      <c r="D46" s="4"/>
      <c r="E46" s="6"/>
      <c r="F46" s="4"/>
      <c r="G46" s="4"/>
    </row>
    <row r="47" spans="1:7" x14ac:dyDescent="0.35">
      <c r="A47" s="4"/>
      <c r="B47" s="4"/>
      <c r="C47" s="4"/>
      <c r="D47" s="4"/>
      <c r="E47" s="6"/>
      <c r="F47" s="4"/>
      <c r="G47" s="4"/>
    </row>
    <row r="48" spans="1:7" x14ac:dyDescent="0.35">
      <c r="A48" s="4"/>
      <c r="B48" s="4"/>
      <c r="C48" s="4"/>
      <c r="D48" s="4"/>
      <c r="E48" s="6"/>
      <c r="F48" s="4"/>
      <c r="G48" s="4"/>
    </row>
    <row r="49" spans="1:7" x14ac:dyDescent="0.35">
      <c r="A49" s="4"/>
      <c r="B49" s="4"/>
      <c r="C49" s="4"/>
      <c r="D49" s="4"/>
      <c r="E49" s="6"/>
      <c r="F49" s="4"/>
      <c r="G49" s="4"/>
    </row>
    <row r="50" spans="1:7" x14ac:dyDescent="0.35">
      <c r="A50" s="4"/>
      <c r="B50" s="4"/>
      <c r="C50" s="4"/>
      <c r="D50" s="4"/>
      <c r="E50" s="6"/>
      <c r="F50" s="4"/>
      <c r="G50" s="4"/>
    </row>
    <row r="51" spans="1:7" x14ac:dyDescent="0.35">
      <c r="A51" s="4"/>
      <c r="B51" s="4"/>
      <c r="C51" s="4"/>
      <c r="D51" s="4"/>
      <c r="E51" s="6"/>
      <c r="F51" s="4"/>
      <c r="G51" s="4"/>
    </row>
    <row r="52" spans="1:7" x14ac:dyDescent="0.35">
      <c r="A52" s="4"/>
      <c r="B52" s="4"/>
      <c r="C52" s="4"/>
      <c r="D52" s="4"/>
      <c r="E52" s="6"/>
      <c r="F52" s="4"/>
      <c r="G52" s="4"/>
    </row>
    <row r="53" spans="1:7" x14ac:dyDescent="0.35">
      <c r="A53" s="4"/>
      <c r="B53" s="4"/>
      <c r="C53" s="4"/>
      <c r="D53" s="4"/>
      <c r="E53" s="6"/>
      <c r="F53" s="4"/>
      <c r="G53" s="4"/>
    </row>
    <row r="54" spans="1:7" x14ac:dyDescent="0.35">
      <c r="A54" s="4"/>
      <c r="B54" s="4"/>
      <c r="C54" s="4"/>
      <c r="D54" s="4"/>
      <c r="E54" s="6"/>
      <c r="F54" s="4"/>
      <c r="G54" s="4"/>
    </row>
    <row r="55" spans="1:7" x14ac:dyDescent="0.35">
      <c r="A55" s="4"/>
      <c r="B55" s="4"/>
      <c r="C55" s="4"/>
      <c r="D55" s="4"/>
      <c r="E55" s="6"/>
      <c r="F55" s="4"/>
      <c r="G55" s="4"/>
    </row>
    <row r="56" spans="1:7" x14ac:dyDescent="0.35">
      <c r="A56" s="4"/>
      <c r="B56" s="4"/>
      <c r="C56" s="4"/>
      <c r="D56" s="4"/>
      <c r="E56" s="6"/>
      <c r="F56" s="4"/>
      <c r="G56" s="4"/>
    </row>
    <row r="57" spans="1:7" x14ac:dyDescent="0.35">
      <c r="A57" s="4"/>
      <c r="B57" s="4"/>
      <c r="C57" s="4"/>
      <c r="D57" s="4"/>
      <c r="E57" s="6"/>
      <c r="F57" s="4"/>
      <c r="G57" s="4"/>
    </row>
    <row r="58" spans="1:7" x14ac:dyDescent="0.35">
      <c r="A58" s="4"/>
      <c r="B58" s="4"/>
      <c r="C58" s="4"/>
      <c r="D58" s="4"/>
      <c r="E58" s="6"/>
      <c r="F58" s="4"/>
      <c r="G58" s="4"/>
    </row>
    <row r="59" spans="1:7" x14ac:dyDescent="0.35">
      <c r="A59" s="4"/>
      <c r="B59" s="4"/>
      <c r="C59" s="4"/>
      <c r="D59" s="4"/>
      <c r="E59" s="6"/>
      <c r="F59" s="4"/>
      <c r="G59" s="4"/>
    </row>
    <row r="60" spans="1:7" x14ac:dyDescent="0.35">
      <c r="A60" s="4"/>
      <c r="B60" s="4"/>
      <c r="C60" s="4"/>
      <c r="D60" s="4"/>
      <c r="E60" s="6"/>
      <c r="F60" s="4"/>
      <c r="G60" s="4"/>
    </row>
    <row r="61" spans="1:7" x14ac:dyDescent="0.35">
      <c r="A61" s="4"/>
      <c r="B61" s="4"/>
      <c r="C61" s="4"/>
      <c r="D61" s="4"/>
      <c r="E61" s="6"/>
      <c r="F61" s="4"/>
      <c r="G61" s="4"/>
    </row>
    <row r="62" spans="1:7" x14ac:dyDescent="0.35">
      <c r="A62" s="4"/>
      <c r="B62" s="4"/>
      <c r="C62" s="4"/>
      <c r="D62" s="4"/>
      <c r="E62" s="6"/>
      <c r="F62" s="4"/>
      <c r="G62" s="4"/>
    </row>
    <row r="63" spans="1:7" x14ac:dyDescent="0.35">
      <c r="A63" s="4"/>
      <c r="B63" s="4"/>
      <c r="C63" s="4"/>
      <c r="D63" s="4"/>
      <c r="E63" s="6"/>
      <c r="F63" s="4"/>
      <c r="G63" s="4"/>
    </row>
    <row r="64" spans="1:7" x14ac:dyDescent="0.35">
      <c r="A64" s="4"/>
      <c r="B64" s="4"/>
      <c r="C64" s="4"/>
      <c r="D64" s="4"/>
      <c r="E64" s="6"/>
      <c r="F64" s="4"/>
      <c r="G64" s="4"/>
    </row>
    <row r="65" spans="1:7" x14ac:dyDescent="0.35">
      <c r="A65" s="4"/>
      <c r="B65" s="4"/>
      <c r="C65" s="4"/>
      <c r="D65" s="4"/>
      <c r="E65" s="6"/>
      <c r="F65" s="4"/>
      <c r="G65" s="4"/>
    </row>
    <row r="66" spans="1:7" x14ac:dyDescent="0.35">
      <c r="A66" s="4"/>
      <c r="B66" s="4"/>
      <c r="C66" s="4"/>
      <c r="D66" s="4"/>
      <c r="E66" s="6"/>
      <c r="F66" s="4"/>
      <c r="G66" s="4"/>
    </row>
    <row r="67" spans="1:7" x14ac:dyDescent="0.35">
      <c r="A67" s="4"/>
      <c r="B67" s="4"/>
      <c r="C67" s="4"/>
      <c r="D67" s="4"/>
      <c r="E67" s="6"/>
      <c r="F67" s="4"/>
      <c r="G67" s="4"/>
    </row>
    <row r="68" spans="1:7" x14ac:dyDescent="0.35">
      <c r="A68" s="4"/>
      <c r="B68" s="4"/>
      <c r="C68" s="4"/>
      <c r="D68" s="4"/>
      <c r="E68" s="6"/>
      <c r="F68" s="4"/>
      <c r="G68" s="4"/>
    </row>
    <row r="69" spans="1:7" x14ac:dyDescent="0.35">
      <c r="A69" s="4"/>
      <c r="B69" s="4"/>
      <c r="C69" s="4"/>
      <c r="D69" s="4"/>
      <c r="E69" s="6"/>
      <c r="F69" s="4"/>
      <c r="G69" s="4"/>
    </row>
    <row r="70" spans="1:7" x14ac:dyDescent="0.35">
      <c r="A70" s="4"/>
      <c r="B70" s="4"/>
      <c r="C70" s="4"/>
      <c r="D70" s="4"/>
      <c r="E70" s="6"/>
      <c r="F70" s="4"/>
      <c r="G70" s="4"/>
    </row>
    <row r="71" spans="1:7" x14ac:dyDescent="0.35">
      <c r="A71" s="4"/>
      <c r="B71" s="4"/>
      <c r="C71" s="4"/>
      <c r="D71" s="4"/>
      <c r="E71" s="6"/>
      <c r="F71" s="4"/>
      <c r="G71" s="4"/>
    </row>
    <row r="72" spans="1:7" x14ac:dyDescent="0.35">
      <c r="A72" s="4"/>
      <c r="B72" s="4"/>
      <c r="C72" s="4"/>
      <c r="D72" s="4"/>
      <c r="E72" s="6"/>
      <c r="F72" s="4"/>
      <c r="G72" s="4"/>
    </row>
    <row r="73" spans="1:7" x14ac:dyDescent="0.35">
      <c r="A73" s="4"/>
      <c r="B73" s="4"/>
      <c r="C73" s="4"/>
      <c r="D73" s="4"/>
      <c r="E73" s="6"/>
      <c r="F73" s="4"/>
      <c r="G73" s="4"/>
    </row>
    <row r="74" spans="1:7" x14ac:dyDescent="0.35">
      <c r="A74" s="4"/>
      <c r="B74" s="4"/>
      <c r="C74" s="4"/>
      <c r="D74" s="4"/>
      <c r="E74" s="6"/>
      <c r="F74" s="4"/>
      <c r="G74" s="4"/>
    </row>
    <row r="75" spans="1:7" x14ac:dyDescent="0.35">
      <c r="A75" s="4"/>
      <c r="B75" s="4"/>
      <c r="C75" s="4"/>
      <c r="D75" s="4"/>
      <c r="E75" s="6"/>
      <c r="F75" s="4"/>
      <c r="G75" s="4"/>
    </row>
    <row r="76" spans="1:7" x14ac:dyDescent="0.35">
      <c r="A76" s="4"/>
      <c r="B76" s="4"/>
      <c r="C76" s="4"/>
      <c r="D76" s="4"/>
      <c r="E76" s="6"/>
      <c r="F76" s="4"/>
      <c r="G76" s="4"/>
    </row>
    <row r="77" spans="1:7" x14ac:dyDescent="0.35">
      <c r="A77" s="4"/>
      <c r="B77" s="4"/>
      <c r="C77" s="4"/>
      <c r="D77" s="4"/>
      <c r="E77" s="6"/>
      <c r="F77" s="4"/>
      <c r="G77" s="4"/>
    </row>
    <row r="78" spans="1:7" x14ac:dyDescent="0.35">
      <c r="A78" s="4"/>
      <c r="B78" s="4"/>
      <c r="C78" s="4"/>
      <c r="D78" s="4"/>
      <c r="E78" s="6"/>
      <c r="F78" s="4"/>
      <c r="G78" s="4"/>
    </row>
    <row r="79" spans="1:7" x14ac:dyDescent="0.35">
      <c r="A79" s="4"/>
      <c r="B79" s="4"/>
      <c r="C79" s="4"/>
      <c r="D79" s="4"/>
      <c r="E79" s="6"/>
      <c r="F79" s="4"/>
      <c r="G79" s="4"/>
    </row>
    <row r="80" spans="1:7" x14ac:dyDescent="0.35">
      <c r="A80" s="4"/>
      <c r="B80" s="4"/>
      <c r="C80" s="4"/>
      <c r="D80" s="4"/>
      <c r="E80" s="6"/>
      <c r="F80" s="4"/>
      <c r="G80" s="4"/>
    </row>
    <row r="81" spans="1:7" x14ac:dyDescent="0.35">
      <c r="A81" s="4"/>
      <c r="B81" s="4"/>
      <c r="C81" s="4"/>
      <c r="D81" s="4"/>
      <c r="E81" s="6"/>
      <c r="F81" s="4"/>
      <c r="G81" s="4"/>
    </row>
    <row r="82" spans="1:7" x14ac:dyDescent="0.35">
      <c r="A82" s="4"/>
      <c r="B82" s="4"/>
      <c r="C82" s="4"/>
      <c r="D82" s="4"/>
      <c r="E82" s="6"/>
      <c r="F82" s="4"/>
      <c r="G82" s="4"/>
    </row>
    <row r="83" spans="1:7" x14ac:dyDescent="0.35">
      <c r="A83" s="4"/>
      <c r="B83" s="4"/>
      <c r="C83" s="4"/>
      <c r="D83" s="4"/>
      <c r="E83" s="6"/>
      <c r="F83" s="4"/>
      <c r="G83" s="4"/>
    </row>
    <row r="84" spans="1:7" x14ac:dyDescent="0.35">
      <c r="A84" s="4"/>
      <c r="B84" s="4"/>
      <c r="C84" s="4"/>
      <c r="D84" s="4"/>
      <c r="E84" s="6"/>
      <c r="F84" s="4"/>
      <c r="G84" s="4"/>
    </row>
    <row r="85" spans="1:7" x14ac:dyDescent="0.35">
      <c r="A85" s="4"/>
      <c r="B85" s="4"/>
      <c r="C85" s="4"/>
      <c r="D85" s="4"/>
      <c r="E85" s="6"/>
      <c r="F85" s="4"/>
      <c r="G85" s="4"/>
    </row>
    <row r="86" spans="1:7" x14ac:dyDescent="0.35">
      <c r="A86" s="4"/>
      <c r="B86" s="4"/>
      <c r="C86" s="4"/>
      <c r="D86" s="4"/>
      <c r="E86" s="6"/>
      <c r="F86" s="4"/>
      <c r="G86" s="4"/>
    </row>
    <row r="87" spans="1:7" x14ac:dyDescent="0.35">
      <c r="A87" s="4"/>
      <c r="B87" s="4"/>
      <c r="C87" s="4"/>
      <c r="D87" s="4"/>
      <c r="E87" s="6"/>
      <c r="F87" s="4"/>
      <c r="G87" s="4"/>
    </row>
    <row r="88" spans="1:7" x14ac:dyDescent="0.35">
      <c r="A88" s="4"/>
      <c r="B88" s="4"/>
      <c r="C88" s="4"/>
      <c r="D88" s="4"/>
      <c r="E88" s="6"/>
      <c r="F88" s="4"/>
      <c r="G88" s="4"/>
    </row>
    <row r="89" spans="1:7" x14ac:dyDescent="0.35">
      <c r="A89" s="4"/>
      <c r="B89" s="4"/>
      <c r="C89" s="4"/>
      <c r="D89" s="4"/>
      <c r="E89" s="6"/>
      <c r="F89" s="4"/>
      <c r="G89" s="4"/>
    </row>
    <row r="90" spans="1:7" x14ac:dyDescent="0.35">
      <c r="A90" s="4"/>
      <c r="B90" s="4"/>
      <c r="C90" s="4"/>
      <c r="D90" s="4"/>
      <c r="E90" s="6"/>
      <c r="F90" s="4"/>
      <c r="G90" s="4"/>
    </row>
    <row r="91" spans="1:7" x14ac:dyDescent="0.35">
      <c r="A91" s="4"/>
      <c r="B91" s="4"/>
      <c r="C91" s="4"/>
      <c r="D91" s="4"/>
      <c r="E91" s="6"/>
      <c r="F91" s="4"/>
      <c r="G91" s="4"/>
    </row>
    <row r="92" spans="1:7" x14ac:dyDescent="0.35">
      <c r="A92" s="4"/>
      <c r="B92" s="4"/>
      <c r="C92" s="4"/>
      <c r="D92" s="4"/>
      <c r="E92" s="6"/>
      <c r="F92" s="4"/>
      <c r="G92" s="4"/>
    </row>
    <row r="93" spans="1:7" x14ac:dyDescent="0.35">
      <c r="A93" s="4"/>
      <c r="B93" s="4"/>
      <c r="C93" s="4"/>
      <c r="D93" s="4"/>
      <c r="E93" s="6"/>
      <c r="F93" s="4"/>
      <c r="G93" s="4"/>
    </row>
    <row r="94" spans="1:7" x14ac:dyDescent="0.35">
      <c r="A94" s="4"/>
      <c r="B94" s="4"/>
      <c r="C94" s="4"/>
      <c r="D94" s="4"/>
      <c r="E94" s="6"/>
      <c r="F94" s="4"/>
      <c r="G94" s="4"/>
    </row>
    <row r="95" spans="1:7" x14ac:dyDescent="0.35">
      <c r="A95" s="4"/>
      <c r="B95" s="4"/>
      <c r="C95" s="4"/>
      <c r="D95" s="4"/>
      <c r="E95" s="6"/>
      <c r="F95" s="4"/>
      <c r="G95" s="4"/>
    </row>
    <row r="96" spans="1:7" x14ac:dyDescent="0.35">
      <c r="A96" s="4"/>
      <c r="B96" s="4"/>
      <c r="C96" s="4"/>
      <c r="D96" s="4"/>
      <c r="E96" s="6"/>
      <c r="F96" s="4"/>
      <c r="G96" s="4"/>
    </row>
    <row r="97" spans="1:7" x14ac:dyDescent="0.35">
      <c r="A97" s="4"/>
      <c r="B97" s="4"/>
      <c r="C97" s="4"/>
      <c r="D97" s="4"/>
      <c r="E97" s="6"/>
      <c r="F97" s="4"/>
      <c r="G97" s="4"/>
    </row>
    <row r="98" spans="1:7" x14ac:dyDescent="0.35">
      <c r="A98" s="4"/>
      <c r="B98" s="4"/>
      <c r="C98" s="4"/>
      <c r="D98" s="4"/>
      <c r="E98" s="6"/>
      <c r="F98" s="4"/>
      <c r="G98" s="4"/>
    </row>
    <row r="99" spans="1:7" x14ac:dyDescent="0.35">
      <c r="A99" s="4"/>
      <c r="B99" s="4"/>
      <c r="C99" s="4"/>
      <c r="D99" s="4"/>
      <c r="E99" s="6"/>
      <c r="F99" s="4"/>
      <c r="G99" s="4"/>
    </row>
    <row r="100" spans="1:7" x14ac:dyDescent="0.35">
      <c r="A100" s="4"/>
      <c r="B100" s="4"/>
      <c r="C100" s="4"/>
      <c r="D100" s="4"/>
      <c r="E100" s="6"/>
      <c r="F100" s="4"/>
      <c r="G100" s="4"/>
    </row>
    <row r="101" spans="1:7" x14ac:dyDescent="0.35">
      <c r="A101" s="4"/>
      <c r="B101" s="4"/>
      <c r="C101" s="4"/>
      <c r="D101" s="4"/>
      <c r="E101" s="6"/>
      <c r="F101" s="4"/>
      <c r="G101" s="4"/>
    </row>
    <row r="102" spans="1:7" x14ac:dyDescent="0.35">
      <c r="A102" s="4"/>
      <c r="B102" s="4"/>
      <c r="C102" s="4"/>
      <c r="D102" s="4"/>
      <c r="E102" s="6"/>
      <c r="F102" s="4"/>
      <c r="G102" s="4"/>
    </row>
    <row r="103" spans="1:7" x14ac:dyDescent="0.35">
      <c r="A103" s="4"/>
      <c r="B103" s="4"/>
      <c r="C103" s="4"/>
      <c r="D103" s="4"/>
      <c r="E103" s="6"/>
      <c r="F103" s="4"/>
      <c r="G103" s="4"/>
    </row>
    <row r="104" spans="1:7" x14ac:dyDescent="0.35">
      <c r="A104" s="4"/>
      <c r="B104" s="4"/>
      <c r="C104" s="4"/>
      <c r="D104" s="4"/>
      <c r="E104" s="6"/>
      <c r="F104" s="4"/>
      <c r="G104" s="4"/>
    </row>
    <row r="105" spans="1:7" x14ac:dyDescent="0.35">
      <c r="A105" s="4"/>
      <c r="B105" s="4"/>
      <c r="C105" s="4"/>
      <c r="D105" s="4"/>
      <c r="E105" s="6"/>
      <c r="F105" s="4"/>
      <c r="G105" s="4"/>
    </row>
    <row r="106" spans="1:7" x14ac:dyDescent="0.35">
      <c r="A106" s="4"/>
      <c r="B106" s="4"/>
      <c r="C106" s="4"/>
      <c r="D106" s="4"/>
      <c r="E106" s="6"/>
      <c r="F106" s="4"/>
      <c r="G106" s="4"/>
    </row>
    <row r="107" spans="1:7" x14ac:dyDescent="0.35">
      <c r="A107" s="4"/>
      <c r="B107" s="4"/>
      <c r="C107" s="4"/>
      <c r="D107" s="4"/>
      <c r="E107" s="6"/>
      <c r="F107" s="4"/>
      <c r="G107" s="4"/>
    </row>
    <row r="108" spans="1:7" x14ac:dyDescent="0.35">
      <c r="A108" s="4"/>
      <c r="B108" s="4"/>
      <c r="C108" s="4"/>
      <c r="D108" s="4"/>
      <c r="E108" s="6"/>
      <c r="F108" s="4"/>
      <c r="G108" s="4"/>
    </row>
    <row r="109" spans="1:7" x14ac:dyDescent="0.35">
      <c r="A109" s="4"/>
      <c r="B109" s="4"/>
      <c r="C109" s="4"/>
      <c r="D109" s="4"/>
      <c r="E109" s="6"/>
      <c r="F109" s="4"/>
      <c r="G109" s="4"/>
    </row>
    <row r="110" spans="1:7" x14ac:dyDescent="0.35">
      <c r="A110" s="4"/>
      <c r="B110" s="4"/>
      <c r="C110" s="4"/>
      <c r="D110" s="4"/>
      <c r="E110" s="6"/>
      <c r="F110" s="4"/>
      <c r="G110" s="4"/>
    </row>
    <row r="111" spans="1:7" x14ac:dyDescent="0.35">
      <c r="A111" s="4"/>
      <c r="B111" s="4"/>
      <c r="C111" s="4"/>
      <c r="D111" s="4"/>
      <c r="E111" s="6"/>
      <c r="F111" s="4"/>
      <c r="G111" s="4"/>
    </row>
    <row r="112" spans="1:7" x14ac:dyDescent="0.35">
      <c r="A112" s="4"/>
      <c r="B112" s="4"/>
      <c r="C112" s="4"/>
      <c r="D112" s="4"/>
      <c r="E112" s="6"/>
      <c r="F112" s="4"/>
      <c r="G112" s="4"/>
    </row>
    <row r="113" spans="1:7" x14ac:dyDescent="0.35">
      <c r="A113" s="4"/>
      <c r="B113" s="4"/>
      <c r="C113" s="4"/>
      <c r="D113" s="4"/>
      <c r="E113" s="6"/>
      <c r="F113" s="4"/>
      <c r="G113" s="4"/>
    </row>
    <row r="114" spans="1:7" x14ac:dyDescent="0.35">
      <c r="A114" s="4"/>
      <c r="B114" s="4"/>
      <c r="C114" s="4"/>
      <c r="D114" s="4"/>
      <c r="E114" s="6"/>
      <c r="F114" s="4"/>
      <c r="G114" s="4"/>
    </row>
    <row r="115" spans="1:7" x14ac:dyDescent="0.35">
      <c r="A115" s="4"/>
      <c r="B115" s="4"/>
      <c r="C115" s="4"/>
      <c r="D115" s="4"/>
      <c r="E115" s="6"/>
      <c r="F115" s="4"/>
      <c r="G115" s="4"/>
    </row>
    <row r="116" spans="1:7" x14ac:dyDescent="0.35">
      <c r="A116" s="4"/>
      <c r="B116" s="4"/>
      <c r="C116" s="4"/>
      <c r="D116" s="4"/>
      <c r="E116" s="6"/>
      <c r="F116" s="4"/>
      <c r="G116" s="4"/>
    </row>
    <row r="117" spans="1:7" x14ac:dyDescent="0.35">
      <c r="A117" s="4"/>
      <c r="B117" s="4"/>
      <c r="C117" s="4"/>
      <c r="D117" s="4"/>
      <c r="E117" s="6"/>
      <c r="F117" s="4"/>
      <c r="G117" s="4"/>
    </row>
    <row r="118" spans="1:7" x14ac:dyDescent="0.35">
      <c r="A118" s="4"/>
      <c r="B118" s="4"/>
      <c r="C118" s="4"/>
      <c r="D118" s="4"/>
      <c r="E118" s="6"/>
      <c r="F118" s="4"/>
      <c r="G118" s="4"/>
    </row>
    <row r="119" spans="1:7" x14ac:dyDescent="0.35">
      <c r="A119" s="4"/>
      <c r="B119" s="4"/>
      <c r="C119" s="4"/>
      <c r="D119" s="4"/>
      <c r="E119" s="6"/>
      <c r="F119" s="4"/>
      <c r="G119" s="4"/>
    </row>
    <row r="120" spans="1:7" x14ac:dyDescent="0.35">
      <c r="A120" s="4"/>
      <c r="B120" s="4"/>
      <c r="C120" s="4"/>
      <c r="D120" s="4"/>
      <c r="E120" s="6"/>
      <c r="F120" s="4"/>
      <c r="G120" s="4"/>
    </row>
    <row r="121" spans="1:7" x14ac:dyDescent="0.35">
      <c r="A121" s="4"/>
      <c r="B121" s="4"/>
      <c r="C121" s="4"/>
      <c r="D121" s="4"/>
      <c r="E121" s="6"/>
      <c r="F121" s="4"/>
      <c r="G121" s="4"/>
    </row>
    <row r="122" spans="1:7" x14ac:dyDescent="0.35">
      <c r="A122" s="4"/>
      <c r="B122" s="4"/>
      <c r="C122" s="4"/>
      <c r="D122" s="4"/>
      <c r="E122" s="6"/>
      <c r="F122" s="4"/>
      <c r="G122" s="4"/>
    </row>
    <row r="123" spans="1:7" x14ac:dyDescent="0.35">
      <c r="A123" s="4"/>
      <c r="B123" s="4"/>
      <c r="C123" s="4"/>
      <c r="D123" s="4"/>
      <c r="E123" s="6"/>
      <c r="F123" s="4"/>
      <c r="G123" s="4"/>
    </row>
    <row r="124" spans="1:7" x14ac:dyDescent="0.35">
      <c r="A124" s="4"/>
      <c r="B124" s="4"/>
      <c r="C124" s="4"/>
      <c r="D124" s="4"/>
      <c r="E124" s="6"/>
      <c r="F124" s="4"/>
      <c r="G124" s="4"/>
    </row>
    <row r="125" spans="1:7" x14ac:dyDescent="0.35">
      <c r="A125" s="4"/>
      <c r="B125" s="4"/>
      <c r="C125" s="4"/>
      <c r="D125" s="4"/>
      <c r="E125" s="6"/>
      <c r="F125" s="4"/>
      <c r="G125" s="4"/>
    </row>
    <row r="126" spans="1:7" x14ac:dyDescent="0.35">
      <c r="A126" s="4"/>
      <c r="B126" s="4"/>
      <c r="C126" s="4"/>
      <c r="D126" s="4"/>
      <c r="E126" s="6"/>
      <c r="F126" s="4"/>
      <c r="G126" s="4"/>
    </row>
    <row r="127" spans="1:7" x14ac:dyDescent="0.35">
      <c r="A127" s="4"/>
      <c r="B127" s="4"/>
      <c r="C127" s="4"/>
      <c r="D127" s="4"/>
      <c r="E127" s="6"/>
      <c r="F127" s="4"/>
      <c r="G127" s="4"/>
    </row>
    <row r="128" spans="1:7" x14ac:dyDescent="0.35">
      <c r="A128" s="4"/>
      <c r="B128" s="4"/>
      <c r="C128" s="4"/>
      <c r="D128" s="4"/>
      <c r="E128" s="6"/>
      <c r="F128" s="4"/>
      <c r="G128" s="4"/>
    </row>
    <row r="129" spans="1:7" x14ac:dyDescent="0.35">
      <c r="A129" s="4"/>
      <c r="B129" s="4"/>
      <c r="C129" s="4"/>
      <c r="D129" s="4"/>
      <c r="E129" s="6"/>
      <c r="F129" s="4"/>
      <c r="G129" s="4"/>
    </row>
    <row r="130" spans="1:7" x14ac:dyDescent="0.35">
      <c r="A130" s="4"/>
      <c r="B130" s="4"/>
      <c r="C130" s="4"/>
      <c r="D130" s="4"/>
      <c r="E130" s="6"/>
      <c r="F130" s="4"/>
      <c r="G130" s="4"/>
    </row>
    <row r="131" spans="1:7" x14ac:dyDescent="0.35">
      <c r="A131" s="4"/>
      <c r="B131" s="4"/>
      <c r="C131" s="4"/>
      <c r="D131" s="4"/>
      <c r="E131" s="6"/>
      <c r="F131" s="4"/>
      <c r="G131" s="4"/>
    </row>
    <row r="132" spans="1:7" x14ac:dyDescent="0.35">
      <c r="A132" s="4"/>
      <c r="B132" s="4"/>
      <c r="C132" s="4"/>
      <c r="D132" s="4"/>
      <c r="E132" s="6"/>
      <c r="F132" s="4"/>
      <c r="G132" s="4"/>
    </row>
    <row r="133" spans="1:7" x14ac:dyDescent="0.35">
      <c r="A133" s="4"/>
      <c r="B133" s="4"/>
      <c r="C133" s="4"/>
      <c r="D133" s="4"/>
      <c r="E133" s="6"/>
      <c r="F133" s="4"/>
      <c r="G133" s="4"/>
    </row>
    <row r="134" spans="1:7" x14ac:dyDescent="0.35">
      <c r="A134" s="4"/>
      <c r="B134" s="4"/>
      <c r="C134" s="4"/>
      <c r="D134" s="4"/>
      <c r="E134" s="6"/>
      <c r="F134" s="4"/>
      <c r="G134" s="4"/>
    </row>
    <row r="135" spans="1:7" x14ac:dyDescent="0.35">
      <c r="A135" s="4"/>
      <c r="B135" s="4"/>
      <c r="C135" s="4"/>
      <c r="D135" s="4"/>
      <c r="E135" s="6"/>
      <c r="F135" s="4"/>
      <c r="G135" s="4"/>
    </row>
    <row r="136" spans="1:7" x14ac:dyDescent="0.35">
      <c r="A136" s="4"/>
      <c r="B136" s="4"/>
      <c r="C136" s="4"/>
      <c r="D136" s="4"/>
      <c r="E136" s="6"/>
      <c r="F136" s="4"/>
      <c r="G136" s="4"/>
    </row>
    <row r="137" spans="1:7" x14ac:dyDescent="0.35">
      <c r="A137" s="4"/>
      <c r="B137" s="4"/>
      <c r="C137" s="4"/>
      <c r="D137" s="4"/>
      <c r="E137" s="6"/>
      <c r="F137" s="4"/>
      <c r="G137" s="4"/>
    </row>
    <row r="138" spans="1:7" x14ac:dyDescent="0.35">
      <c r="A138" s="4"/>
      <c r="B138" s="4"/>
      <c r="C138" s="4"/>
      <c r="D138" s="4"/>
      <c r="E138" s="6"/>
      <c r="F138" s="4"/>
      <c r="G138" s="4"/>
    </row>
    <row r="139" spans="1:7" x14ac:dyDescent="0.35">
      <c r="A139" s="4"/>
      <c r="B139" s="4"/>
      <c r="C139" s="4"/>
      <c r="D139" s="4"/>
      <c r="E139" s="6"/>
      <c r="F139" s="4"/>
      <c r="G139" s="4"/>
    </row>
    <row r="140" spans="1:7" x14ac:dyDescent="0.35">
      <c r="A140" s="4"/>
      <c r="B140" s="4"/>
      <c r="C140" s="4"/>
      <c r="D140" s="4"/>
      <c r="E140" s="6"/>
      <c r="F140" s="4"/>
      <c r="G140" s="4"/>
    </row>
    <row r="141" spans="1:7" x14ac:dyDescent="0.35">
      <c r="A141" s="4"/>
      <c r="B141" s="4"/>
      <c r="C141" s="4"/>
      <c r="D141" s="4"/>
      <c r="E141" s="6"/>
      <c r="F141" s="4"/>
      <c r="G141" s="4"/>
    </row>
    <row r="142" spans="1:7" x14ac:dyDescent="0.35">
      <c r="A142" s="4"/>
      <c r="B142" s="4"/>
      <c r="C142" s="4"/>
      <c r="D142" s="4"/>
      <c r="E142" s="6"/>
      <c r="F142" s="4"/>
      <c r="G142" s="4"/>
    </row>
    <row r="143" spans="1:7" x14ac:dyDescent="0.35">
      <c r="A143" s="4"/>
      <c r="B143" s="4"/>
      <c r="C143" s="4"/>
      <c r="D143" s="4"/>
      <c r="E143" s="6"/>
      <c r="F143" s="4"/>
      <c r="G143" s="4"/>
    </row>
    <row r="144" spans="1:7" x14ac:dyDescent="0.35">
      <c r="A144" s="4"/>
      <c r="B144" s="4"/>
      <c r="C144" s="4"/>
      <c r="D144" s="4"/>
      <c r="E144" s="6"/>
      <c r="F144" s="4"/>
      <c r="G144" s="4"/>
    </row>
    <row r="145" spans="1:7" x14ac:dyDescent="0.35">
      <c r="A145" s="4"/>
      <c r="B145" s="4"/>
      <c r="C145" s="4"/>
      <c r="D145" s="4"/>
      <c r="E145" s="6"/>
      <c r="F145" s="4"/>
      <c r="G145" s="4"/>
    </row>
    <row r="146" spans="1:7" x14ac:dyDescent="0.35">
      <c r="A146" s="4"/>
      <c r="B146" s="4"/>
      <c r="C146" s="4"/>
      <c r="D146" s="4"/>
      <c r="E146" s="6"/>
      <c r="F146" s="4"/>
      <c r="G146" s="4"/>
    </row>
    <row r="147" spans="1:7" x14ac:dyDescent="0.35">
      <c r="A147" s="4"/>
      <c r="B147" s="4"/>
      <c r="C147" s="4"/>
      <c r="D147" s="4"/>
      <c r="E147" s="6"/>
      <c r="F147" s="4"/>
      <c r="G147" s="4"/>
    </row>
    <row r="148" spans="1:7" x14ac:dyDescent="0.35">
      <c r="A148" s="4"/>
      <c r="B148" s="4"/>
      <c r="C148" s="4"/>
      <c r="D148" s="4"/>
      <c r="E148" s="6"/>
      <c r="F148" s="4"/>
      <c r="G148" s="4"/>
    </row>
    <row r="149" spans="1:7" x14ac:dyDescent="0.35">
      <c r="A149" s="4"/>
      <c r="B149" s="4"/>
      <c r="C149" s="4"/>
      <c r="D149" s="4"/>
      <c r="E149" s="6"/>
      <c r="F149" s="4"/>
      <c r="G149" s="4"/>
    </row>
    <row r="150" spans="1:7" x14ac:dyDescent="0.35">
      <c r="A150" s="4"/>
      <c r="B150" s="4"/>
      <c r="C150" s="4"/>
      <c r="D150" s="4"/>
      <c r="E150" s="6"/>
      <c r="F150" s="4"/>
      <c r="G150" s="4"/>
    </row>
    <row r="151" spans="1:7" x14ac:dyDescent="0.35">
      <c r="A151" s="4"/>
      <c r="B151" s="4"/>
      <c r="C151" s="4"/>
      <c r="D151" s="4"/>
      <c r="E151" s="6"/>
      <c r="F151" s="4"/>
      <c r="G151" s="4"/>
    </row>
    <row r="152" spans="1:7" x14ac:dyDescent="0.35">
      <c r="A152" s="4"/>
      <c r="B152" s="4"/>
      <c r="C152" s="4"/>
      <c r="D152" s="4"/>
      <c r="E152" s="6"/>
      <c r="F152" s="4"/>
      <c r="G152" s="4"/>
    </row>
    <row r="153" spans="1:7" x14ac:dyDescent="0.35">
      <c r="A153" s="4"/>
      <c r="B153" s="4"/>
      <c r="C153" s="4"/>
      <c r="D153" s="4"/>
      <c r="E153" s="6"/>
      <c r="F153" s="4"/>
      <c r="G153" s="4"/>
    </row>
    <row r="154" spans="1:7" x14ac:dyDescent="0.35">
      <c r="A154" s="4"/>
      <c r="B154" s="4"/>
      <c r="C154" s="4"/>
      <c r="D154" s="4"/>
      <c r="E154" s="6"/>
      <c r="F154" s="4"/>
      <c r="G154" s="4"/>
    </row>
    <row r="155" spans="1:7" x14ac:dyDescent="0.35">
      <c r="A155" s="4"/>
      <c r="B155" s="4"/>
      <c r="C155" s="4"/>
      <c r="D155" s="4"/>
      <c r="E155" s="6"/>
      <c r="F155" s="4"/>
      <c r="G155" s="4"/>
    </row>
    <row r="156" spans="1:7" x14ac:dyDescent="0.35">
      <c r="A156" s="4"/>
      <c r="B156" s="4"/>
      <c r="C156" s="4"/>
      <c r="D156" s="4"/>
      <c r="E156" s="6"/>
      <c r="F156" s="4"/>
      <c r="G156" s="4"/>
    </row>
    <row r="157" spans="1:7" x14ac:dyDescent="0.35">
      <c r="A157" s="4"/>
      <c r="B157" s="4"/>
      <c r="C157" s="4"/>
      <c r="D157" s="4"/>
      <c r="E157" s="6"/>
      <c r="F157" s="4"/>
      <c r="G157" s="4"/>
    </row>
    <row r="158" spans="1:7" x14ac:dyDescent="0.35">
      <c r="A158" s="4"/>
      <c r="B158" s="4"/>
      <c r="C158" s="4"/>
      <c r="D158" s="4"/>
      <c r="E158" s="6"/>
      <c r="F158" s="4"/>
      <c r="G158" s="4"/>
    </row>
    <row r="159" spans="1:7" x14ac:dyDescent="0.35">
      <c r="A159" s="4"/>
      <c r="B159" s="4"/>
      <c r="C159" s="4"/>
      <c r="D159" s="4"/>
      <c r="E159" s="6"/>
      <c r="F159" s="4"/>
      <c r="G159" s="4"/>
    </row>
    <row r="160" spans="1:7" x14ac:dyDescent="0.35">
      <c r="A160" s="4"/>
      <c r="B160" s="4"/>
      <c r="C160" s="4"/>
      <c r="D160" s="4"/>
      <c r="E160" s="6"/>
      <c r="F160" s="4"/>
      <c r="G160" s="4"/>
    </row>
    <row r="161" spans="1:7" x14ac:dyDescent="0.35">
      <c r="A161" s="4"/>
      <c r="B161" s="4"/>
      <c r="C161" s="4"/>
      <c r="D161" s="4"/>
      <c r="E161" s="6"/>
      <c r="F161" s="4"/>
      <c r="G161" s="4"/>
    </row>
    <row r="162" spans="1:7" x14ac:dyDescent="0.35">
      <c r="A162" s="4"/>
      <c r="B162" s="4"/>
      <c r="C162" s="4"/>
      <c r="D162" s="4"/>
      <c r="E162" s="6"/>
      <c r="F162" s="4"/>
      <c r="G162" s="4"/>
    </row>
    <row r="163" spans="1:7" x14ac:dyDescent="0.35">
      <c r="A163" s="4"/>
      <c r="B163" s="4"/>
      <c r="C163" s="4"/>
      <c r="D163" s="4"/>
      <c r="E163" s="6"/>
      <c r="F163" s="4"/>
      <c r="G163" s="4"/>
    </row>
    <row r="164" spans="1:7" x14ac:dyDescent="0.35">
      <c r="A164" s="4"/>
      <c r="B164" s="4"/>
      <c r="C164" s="4"/>
      <c r="D164" s="4"/>
      <c r="E164" s="6"/>
      <c r="F164" s="4"/>
      <c r="G164" s="4"/>
    </row>
    <row r="165" spans="1:7" x14ac:dyDescent="0.35">
      <c r="A165" s="4"/>
      <c r="B165" s="4"/>
      <c r="C165" s="4"/>
      <c r="D165" s="4"/>
      <c r="E165" s="6"/>
      <c r="F165" s="4"/>
      <c r="G165" s="4"/>
    </row>
    <row r="166" spans="1:7" x14ac:dyDescent="0.35">
      <c r="A166" s="4"/>
      <c r="B166" s="4"/>
      <c r="C166" s="4"/>
      <c r="D166" s="4"/>
      <c r="E166" s="6"/>
      <c r="F166" s="4"/>
      <c r="G166" s="4"/>
    </row>
    <row r="167" spans="1:7" x14ac:dyDescent="0.35">
      <c r="A167" s="4"/>
      <c r="B167" s="4"/>
      <c r="C167" s="4"/>
      <c r="D167" s="4"/>
      <c r="E167" s="6"/>
      <c r="F167" s="4"/>
      <c r="G167" s="4"/>
    </row>
    <row r="168" spans="1:7" x14ac:dyDescent="0.35">
      <c r="A168" s="4"/>
      <c r="B168" s="4"/>
      <c r="C168" s="4"/>
      <c r="D168" s="4"/>
      <c r="E168" s="6"/>
      <c r="F168" s="4"/>
      <c r="G168" s="4"/>
    </row>
    <row r="169" spans="1:7" x14ac:dyDescent="0.35">
      <c r="A169" s="4"/>
      <c r="B169" s="4"/>
      <c r="C169" s="4"/>
      <c r="D169" s="4"/>
      <c r="E169" s="6"/>
      <c r="F169" s="4"/>
      <c r="G169" s="4"/>
    </row>
    <row r="170" spans="1:7" x14ac:dyDescent="0.35">
      <c r="A170" s="4"/>
      <c r="B170" s="4"/>
      <c r="C170" s="4"/>
      <c r="D170" s="4"/>
      <c r="E170" s="6"/>
      <c r="F170" s="4"/>
      <c r="G170" s="4"/>
    </row>
    <row r="171" spans="1:7" x14ac:dyDescent="0.35">
      <c r="A171" s="4"/>
      <c r="B171" s="4"/>
      <c r="C171" s="4"/>
      <c r="D171" s="4"/>
      <c r="E171" s="6"/>
      <c r="F171" s="4"/>
      <c r="G171" s="4"/>
    </row>
    <row r="172" spans="1:7" x14ac:dyDescent="0.35">
      <c r="A172" s="4"/>
      <c r="B172" s="4"/>
      <c r="C172" s="4"/>
      <c r="D172" s="4"/>
      <c r="E172" s="6"/>
      <c r="F172" s="4"/>
      <c r="G172" s="4"/>
    </row>
    <row r="173" spans="1:7" x14ac:dyDescent="0.35">
      <c r="A173" s="4"/>
      <c r="B173" s="4"/>
      <c r="C173" s="4"/>
      <c r="D173" s="4"/>
      <c r="E173" s="6"/>
      <c r="F173" s="4"/>
      <c r="G173" s="4"/>
    </row>
    <row r="174" spans="1:7" x14ac:dyDescent="0.35">
      <c r="A174" s="4"/>
      <c r="B174" s="4"/>
      <c r="C174" s="4"/>
      <c r="D174" s="4"/>
      <c r="E174" s="6"/>
      <c r="F174" s="4"/>
      <c r="G174" s="4"/>
    </row>
    <row r="175" spans="1:7" x14ac:dyDescent="0.35">
      <c r="A175" s="4"/>
      <c r="B175" s="4"/>
      <c r="C175" s="4"/>
      <c r="D175" s="4"/>
      <c r="E175" s="6"/>
      <c r="F175" s="4"/>
      <c r="G175" s="4"/>
    </row>
    <row r="176" spans="1:7" x14ac:dyDescent="0.35">
      <c r="A176" s="4"/>
      <c r="B176" s="4"/>
      <c r="C176" s="4"/>
      <c r="D176" s="4"/>
      <c r="E176" s="6"/>
      <c r="F176" s="4"/>
      <c r="G176" s="4"/>
    </row>
    <row r="177" spans="1:7" x14ac:dyDescent="0.35">
      <c r="A177" s="4"/>
      <c r="B177" s="4"/>
      <c r="C177" s="4"/>
      <c r="D177" s="4"/>
      <c r="E177" s="6"/>
      <c r="F177" s="4"/>
      <c r="G177" s="4"/>
    </row>
    <row r="178" spans="1:7" x14ac:dyDescent="0.35">
      <c r="A178" s="4"/>
      <c r="B178" s="4"/>
      <c r="C178" s="4"/>
      <c r="D178" s="4"/>
      <c r="E178" s="6"/>
      <c r="F178" s="4"/>
      <c r="G178" s="4"/>
    </row>
    <row r="179" spans="1:7" x14ac:dyDescent="0.35">
      <c r="A179" s="4"/>
      <c r="B179" s="4"/>
      <c r="C179" s="4"/>
      <c r="D179" s="4"/>
      <c r="E179" s="6"/>
      <c r="F179" s="4"/>
      <c r="G179" s="4"/>
    </row>
    <row r="180" spans="1:7" x14ac:dyDescent="0.35">
      <c r="A180" s="4"/>
      <c r="B180" s="4"/>
      <c r="C180" s="4"/>
      <c r="D180" s="4"/>
      <c r="E180" s="6"/>
      <c r="F180" s="4"/>
      <c r="G180" s="4"/>
    </row>
    <row r="181" spans="1:7" x14ac:dyDescent="0.35">
      <c r="A181" s="4"/>
      <c r="B181" s="4"/>
      <c r="C181" s="4"/>
      <c r="D181" s="4"/>
      <c r="E181" s="6"/>
      <c r="F181" s="4"/>
      <c r="G181" s="4"/>
    </row>
    <row r="182" spans="1:7" x14ac:dyDescent="0.35">
      <c r="A182" s="4"/>
      <c r="B182" s="4"/>
      <c r="C182" s="4"/>
      <c r="D182" s="4"/>
      <c r="E182" s="6"/>
      <c r="F182" s="4"/>
      <c r="G182" s="4"/>
    </row>
    <row r="183" spans="1:7" x14ac:dyDescent="0.35">
      <c r="A183" s="4"/>
      <c r="B183" s="4"/>
      <c r="C183" s="4"/>
      <c r="D183" s="4"/>
      <c r="E183" s="6"/>
      <c r="F183" s="4"/>
      <c r="G183" s="4"/>
    </row>
    <row r="184" spans="1:7" x14ac:dyDescent="0.35">
      <c r="A184" s="4"/>
      <c r="B184" s="4"/>
      <c r="C184" s="4"/>
      <c r="D184" s="4"/>
      <c r="E184" s="6"/>
      <c r="F184" s="4"/>
      <c r="G184" s="4"/>
    </row>
    <row r="185" spans="1:7" x14ac:dyDescent="0.35">
      <c r="A185" s="4"/>
      <c r="B185" s="4"/>
      <c r="C185" s="4"/>
      <c r="D185" s="4"/>
      <c r="E185" s="6"/>
      <c r="F185" s="4"/>
      <c r="G185" s="4"/>
    </row>
    <row r="186" spans="1:7" x14ac:dyDescent="0.35">
      <c r="A186" s="4"/>
      <c r="B186" s="4"/>
      <c r="C186" s="4"/>
      <c r="D186" s="4"/>
      <c r="E186" s="6"/>
      <c r="F186" s="4"/>
      <c r="G186" s="4"/>
    </row>
    <row r="187" spans="1:7" x14ac:dyDescent="0.35">
      <c r="A187" s="4"/>
      <c r="B187" s="4"/>
      <c r="C187" s="4"/>
      <c r="D187" s="4"/>
      <c r="E187" s="6"/>
      <c r="F187" s="4"/>
      <c r="G187" s="4"/>
    </row>
    <row r="188" spans="1:7" x14ac:dyDescent="0.35">
      <c r="A188" s="4"/>
      <c r="B188" s="4"/>
      <c r="C188" s="4"/>
      <c r="D188" s="4"/>
      <c r="E188" s="6"/>
      <c r="F188" s="4"/>
      <c r="G188" s="4"/>
    </row>
    <row r="189" spans="1:7" x14ac:dyDescent="0.35">
      <c r="A189" s="4"/>
      <c r="B189" s="4"/>
      <c r="C189" s="4"/>
      <c r="D189" s="4"/>
      <c r="E189" s="6"/>
      <c r="F189" s="4"/>
      <c r="G189" s="4"/>
    </row>
    <row r="190" spans="1:7" x14ac:dyDescent="0.35">
      <c r="A190" s="4"/>
      <c r="B190" s="4"/>
      <c r="C190" s="4"/>
      <c r="D190" s="4"/>
      <c r="E190" s="6"/>
      <c r="F190" s="4"/>
      <c r="G190" s="4"/>
    </row>
    <row r="191" spans="1:7" x14ac:dyDescent="0.35">
      <c r="A191" s="4"/>
      <c r="B191" s="4"/>
      <c r="C191" s="4"/>
      <c r="D191" s="4"/>
      <c r="E191" s="6"/>
      <c r="F191" s="4"/>
      <c r="G191" s="4"/>
    </row>
    <row r="192" spans="1:7" x14ac:dyDescent="0.35">
      <c r="A192" s="4"/>
      <c r="B192" s="4"/>
      <c r="C192" s="4"/>
      <c r="D192" s="4"/>
      <c r="E192" s="6"/>
      <c r="F192" s="4"/>
      <c r="G192" s="4"/>
    </row>
    <row r="193" spans="1:7" x14ac:dyDescent="0.35">
      <c r="A193" s="4"/>
      <c r="B193" s="4"/>
      <c r="C193" s="4"/>
      <c r="D193" s="4"/>
      <c r="E193" s="6"/>
      <c r="F193" s="4"/>
      <c r="G193" s="4"/>
    </row>
    <row r="194" spans="1:7" x14ac:dyDescent="0.35">
      <c r="A194" s="4"/>
      <c r="B194" s="4"/>
      <c r="C194" s="4"/>
      <c r="D194" s="4"/>
      <c r="E194" s="6"/>
      <c r="F194" s="4"/>
      <c r="G194" s="4"/>
    </row>
    <row r="195" spans="1:7" x14ac:dyDescent="0.35">
      <c r="A195" s="4"/>
      <c r="B195" s="4"/>
      <c r="C195" s="4"/>
      <c r="D195" s="4"/>
      <c r="E195" s="6"/>
      <c r="F195" s="4"/>
      <c r="G195" s="4"/>
    </row>
    <row r="196" spans="1:7" x14ac:dyDescent="0.35">
      <c r="A196" s="4"/>
      <c r="B196" s="4"/>
      <c r="C196" s="4"/>
      <c r="D196" s="4"/>
      <c r="E196" s="6"/>
      <c r="F196" s="4"/>
      <c r="G196" s="4"/>
    </row>
    <row r="197" spans="1:7" x14ac:dyDescent="0.35">
      <c r="A197" s="4"/>
      <c r="B197" s="4"/>
      <c r="C197" s="4"/>
      <c r="D197" s="4"/>
      <c r="E197" s="6"/>
      <c r="F197" s="4"/>
      <c r="G197" s="4"/>
    </row>
    <row r="198" spans="1:7" x14ac:dyDescent="0.35">
      <c r="A198" s="4"/>
      <c r="B198" s="4"/>
      <c r="C198" s="4"/>
      <c r="D198" s="4"/>
      <c r="E198" s="6"/>
      <c r="F198" s="4"/>
      <c r="G198" s="4"/>
    </row>
    <row r="199" spans="1:7" x14ac:dyDescent="0.35">
      <c r="A199" s="4"/>
      <c r="B199" s="4"/>
      <c r="C199" s="4"/>
      <c r="D199" s="4"/>
      <c r="E199" s="6"/>
      <c r="F199" s="4"/>
      <c r="G199" s="4"/>
    </row>
    <row r="200" spans="1:7" x14ac:dyDescent="0.35">
      <c r="A200" s="4"/>
      <c r="B200" s="4"/>
      <c r="C200" s="4"/>
      <c r="D200" s="4"/>
      <c r="E200" s="6"/>
      <c r="F200" s="4"/>
      <c r="G200" s="4"/>
    </row>
    <row r="201" spans="1:7" x14ac:dyDescent="0.35">
      <c r="A201" s="4"/>
      <c r="B201" s="4"/>
      <c r="C201" s="4"/>
      <c r="D201" s="4"/>
      <c r="E201" s="6"/>
      <c r="F201" s="4"/>
      <c r="G201" s="4"/>
    </row>
    <row r="202" spans="1:7" x14ac:dyDescent="0.35">
      <c r="A202" s="4"/>
      <c r="B202" s="4"/>
      <c r="C202" s="4"/>
      <c r="D202" s="4"/>
      <c r="E202" s="6"/>
      <c r="F202" s="4"/>
      <c r="G202" s="4"/>
    </row>
    <row r="203" spans="1:7" x14ac:dyDescent="0.35">
      <c r="A203" s="4"/>
      <c r="B203" s="4"/>
      <c r="C203" s="4"/>
      <c r="D203" s="4"/>
      <c r="E203" s="6"/>
      <c r="F203" s="4"/>
      <c r="G203" s="4"/>
    </row>
    <row r="204" spans="1:7" x14ac:dyDescent="0.35">
      <c r="A204" s="4"/>
      <c r="B204" s="4"/>
      <c r="C204" s="4"/>
      <c r="D204" s="4"/>
      <c r="E204" s="6"/>
      <c r="F204" s="4"/>
      <c r="G204" s="4"/>
    </row>
    <row r="205" spans="1:7" x14ac:dyDescent="0.35">
      <c r="A205" s="4"/>
      <c r="B205" s="4"/>
      <c r="C205" s="4"/>
      <c r="D205" s="4"/>
      <c r="E205" s="6"/>
      <c r="F205" s="4"/>
      <c r="G205" s="4"/>
    </row>
    <row r="206" spans="1:7" x14ac:dyDescent="0.35">
      <c r="A206" s="4"/>
      <c r="B206" s="4"/>
      <c r="C206" s="4"/>
      <c r="D206" s="4"/>
      <c r="E206" s="6"/>
      <c r="F206" s="4"/>
      <c r="G206" s="4"/>
    </row>
    <row r="207" spans="1:7" x14ac:dyDescent="0.35">
      <c r="A207" s="4"/>
      <c r="B207" s="4"/>
      <c r="C207" s="4"/>
      <c r="D207" s="4"/>
      <c r="E207" s="6"/>
      <c r="F207" s="4"/>
      <c r="G207" s="4"/>
    </row>
    <row r="208" spans="1:7" x14ac:dyDescent="0.35">
      <c r="A208" s="4"/>
      <c r="B208" s="4"/>
      <c r="C208" s="4"/>
      <c r="D208" s="4"/>
      <c r="E208" s="6"/>
      <c r="F208" s="4"/>
      <c r="G208" s="4"/>
    </row>
    <row r="209" spans="1:7" x14ac:dyDescent="0.35">
      <c r="A209" s="4"/>
      <c r="B209" s="4"/>
      <c r="C209" s="4"/>
      <c r="D209" s="4"/>
      <c r="E209" s="6"/>
      <c r="F209" s="4"/>
      <c r="G209" s="4"/>
    </row>
    <row r="210" spans="1:7" x14ac:dyDescent="0.35">
      <c r="A210" s="4"/>
      <c r="B210" s="4"/>
      <c r="C210" s="4"/>
      <c r="D210" s="4"/>
      <c r="E210" s="6"/>
      <c r="F210" s="4"/>
      <c r="G210" s="4"/>
    </row>
    <row r="211" spans="1:7" x14ac:dyDescent="0.35">
      <c r="A211" s="4"/>
      <c r="B211" s="4"/>
      <c r="C211" s="4"/>
      <c r="D211" s="4"/>
      <c r="E211" s="6"/>
      <c r="F211" s="4"/>
      <c r="G211" s="4"/>
    </row>
    <row r="212" spans="1:7" x14ac:dyDescent="0.35">
      <c r="A212" s="4"/>
      <c r="B212" s="4"/>
      <c r="C212" s="4"/>
      <c r="D212" s="4"/>
      <c r="E212" s="6"/>
      <c r="F212" s="4"/>
      <c r="G212" s="4"/>
    </row>
    <row r="213" spans="1:7" x14ac:dyDescent="0.35">
      <c r="A213" s="4"/>
      <c r="B213" s="4"/>
      <c r="C213" s="4"/>
      <c r="D213" s="4"/>
      <c r="E213" s="6"/>
      <c r="F213" s="4"/>
      <c r="G213" s="4"/>
    </row>
    <row r="214" spans="1:7" x14ac:dyDescent="0.35">
      <c r="A214" s="4"/>
      <c r="B214" s="4"/>
      <c r="C214" s="4"/>
      <c r="D214" s="4"/>
      <c r="E214" s="6"/>
      <c r="F214" s="4"/>
      <c r="G214" s="4"/>
    </row>
    <row r="215" spans="1:7" x14ac:dyDescent="0.35">
      <c r="A215" s="4"/>
      <c r="B215" s="4"/>
      <c r="C215" s="4"/>
      <c r="D215" s="4"/>
      <c r="E215" s="6"/>
      <c r="F215" s="4"/>
      <c r="G215" s="4"/>
    </row>
    <row r="216" spans="1:7" x14ac:dyDescent="0.35">
      <c r="A216" s="4"/>
      <c r="B216" s="4"/>
      <c r="C216" s="4"/>
      <c r="D216" s="4"/>
      <c r="E216" s="6"/>
      <c r="F216" s="4"/>
      <c r="G216" s="4"/>
    </row>
    <row r="217" spans="1:7" x14ac:dyDescent="0.35">
      <c r="A217" s="4"/>
      <c r="B217" s="4"/>
      <c r="C217" s="4"/>
      <c r="D217" s="4"/>
      <c r="E217" s="6"/>
      <c r="F217" s="4"/>
      <c r="G217" s="4"/>
    </row>
    <row r="218" spans="1:7" x14ac:dyDescent="0.35">
      <c r="A218" s="4"/>
      <c r="B218" s="4"/>
      <c r="C218" s="4"/>
      <c r="D218" s="4"/>
      <c r="E218" s="6"/>
      <c r="F218" s="4"/>
      <c r="G218" s="4"/>
    </row>
    <row r="219" spans="1:7" x14ac:dyDescent="0.35">
      <c r="A219" s="4"/>
      <c r="B219" s="4"/>
      <c r="C219" s="4"/>
      <c r="D219" s="4"/>
      <c r="E219" s="6"/>
      <c r="F219" s="4"/>
      <c r="G219" s="4"/>
    </row>
    <row r="220" spans="1:7" x14ac:dyDescent="0.35">
      <c r="A220" s="4"/>
      <c r="B220" s="4"/>
      <c r="C220" s="4"/>
      <c r="D220" s="4"/>
      <c r="E220" s="6"/>
      <c r="F220" s="4"/>
      <c r="G220" s="4"/>
    </row>
    <row r="221" spans="1:7" x14ac:dyDescent="0.35">
      <c r="A221" s="4"/>
      <c r="B221" s="4"/>
      <c r="C221" s="4"/>
      <c r="D221" s="4"/>
      <c r="E221" s="6"/>
      <c r="F221" s="4"/>
      <c r="G221" s="4"/>
    </row>
    <row r="222" spans="1:7" x14ac:dyDescent="0.35">
      <c r="A222" s="4"/>
      <c r="B222" s="4"/>
      <c r="C222" s="4"/>
      <c r="D222" s="4"/>
      <c r="E222" s="6"/>
      <c r="F222" s="4"/>
      <c r="G222" s="4"/>
    </row>
    <row r="223" spans="1:7" x14ac:dyDescent="0.35">
      <c r="A223" s="4"/>
      <c r="B223" s="4"/>
      <c r="C223" s="4"/>
      <c r="D223" s="4"/>
      <c r="E223" s="6"/>
      <c r="F223" s="4"/>
      <c r="G223" s="4"/>
    </row>
    <row r="224" spans="1:7" x14ac:dyDescent="0.35">
      <c r="A224" s="4"/>
      <c r="B224" s="4"/>
      <c r="C224" s="4"/>
      <c r="D224" s="4"/>
      <c r="E224" s="6"/>
      <c r="F224" s="4"/>
      <c r="G224" s="4"/>
    </row>
    <row r="225" spans="1:7" x14ac:dyDescent="0.35">
      <c r="A225" s="4"/>
      <c r="B225" s="4"/>
      <c r="C225" s="4"/>
      <c r="D225" s="4"/>
      <c r="E225" s="6"/>
      <c r="F225" s="4"/>
      <c r="G225" s="4"/>
    </row>
    <row r="226" spans="1:7" x14ac:dyDescent="0.35">
      <c r="A226" s="4"/>
      <c r="B226" s="4"/>
      <c r="C226" s="4"/>
      <c r="D226" s="4"/>
      <c r="E226" s="6"/>
      <c r="F226" s="4"/>
      <c r="G226" s="4"/>
    </row>
    <row r="227" spans="1:7" x14ac:dyDescent="0.35">
      <c r="A227" s="4"/>
      <c r="B227" s="4"/>
      <c r="C227" s="4"/>
      <c r="D227" s="4"/>
      <c r="E227" s="6"/>
      <c r="F227" s="4"/>
      <c r="G227" s="4"/>
    </row>
    <row r="228" spans="1:7" x14ac:dyDescent="0.35">
      <c r="A228" s="4"/>
      <c r="B228" s="4"/>
      <c r="C228" s="4"/>
      <c r="D228" s="4"/>
      <c r="E228" s="6"/>
      <c r="F228" s="4"/>
      <c r="G228" s="4"/>
    </row>
    <row r="229" spans="1:7" x14ac:dyDescent="0.35">
      <c r="A229" s="4"/>
      <c r="B229" s="4"/>
      <c r="C229" s="4"/>
      <c r="D229" s="4"/>
      <c r="E229" s="6"/>
      <c r="F229" s="4"/>
      <c r="G229" s="4"/>
    </row>
    <row r="230" spans="1:7" x14ac:dyDescent="0.35">
      <c r="A230" s="4"/>
      <c r="B230" s="4"/>
      <c r="C230" s="4"/>
      <c r="D230" s="4"/>
      <c r="E230" s="6"/>
      <c r="F230" s="4"/>
      <c r="G230" s="4"/>
    </row>
    <row r="231" spans="1:7" x14ac:dyDescent="0.35">
      <c r="A231" s="4"/>
      <c r="B231" s="4"/>
      <c r="C231" s="4"/>
      <c r="D231" s="4"/>
      <c r="E231" s="6"/>
      <c r="F231" s="4"/>
      <c r="G231" s="4"/>
    </row>
    <row r="232" spans="1:7" x14ac:dyDescent="0.35">
      <c r="A232" s="4"/>
      <c r="B232" s="4"/>
      <c r="C232" s="4"/>
      <c r="D232" s="4"/>
      <c r="E232" s="6"/>
      <c r="F232" s="4"/>
      <c r="G232" s="4"/>
    </row>
    <row r="233" spans="1:7" x14ac:dyDescent="0.35">
      <c r="A233" s="4"/>
      <c r="B233" s="4"/>
      <c r="C233" s="4"/>
      <c r="D233" s="4"/>
      <c r="E233" s="6"/>
      <c r="F233" s="4"/>
      <c r="G233" s="4"/>
    </row>
    <row r="234" spans="1:7" x14ac:dyDescent="0.35">
      <c r="A234" s="4"/>
      <c r="B234" s="4"/>
      <c r="C234" s="4"/>
      <c r="D234" s="4"/>
      <c r="E234" s="6"/>
      <c r="F234" s="4"/>
      <c r="G234" s="4"/>
    </row>
    <row r="235" spans="1:7" x14ac:dyDescent="0.35">
      <c r="A235" s="4"/>
      <c r="B235" s="4"/>
      <c r="C235" s="4"/>
      <c r="D235" s="4"/>
      <c r="E235" s="6"/>
      <c r="F235" s="4"/>
      <c r="G235" s="4"/>
    </row>
    <row r="236" spans="1:7" x14ac:dyDescent="0.35">
      <c r="A236" s="4"/>
      <c r="B236" s="4"/>
      <c r="C236" s="4"/>
      <c r="D236" s="4"/>
      <c r="E236" s="6"/>
      <c r="F236" s="4"/>
      <c r="G236" s="4"/>
    </row>
    <row r="237" spans="1:7" x14ac:dyDescent="0.35">
      <c r="A237" s="4"/>
      <c r="B237" s="4"/>
      <c r="C237" s="4"/>
      <c r="D237" s="4"/>
      <c r="E237" s="6"/>
      <c r="F237" s="4"/>
      <c r="G237" s="4"/>
    </row>
    <row r="238" spans="1:7" x14ac:dyDescent="0.35">
      <c r="A238" s="4"/>
      <c r="B238" s="4"/>
      <c r="C238" s="4"/>
      <c r="D238" s="4"/>
      <c r="E238" s="6"/>
      <c r="F238" s="4"/>
      <c r="G238" s="4"/>
    </row>
    <row r="239" spans="1:7" x14ac:dyDescent="0.35">
      <c r="A239" s="4"/>
      <c r="B239" s="4"/>
      <c r="C239" s="4"/>
      <c r="D239" s="4"/>
      <c r="E239" s="6"/>
      <c r="F239" s="4"/>
      <c r="G239" s="4"/>
    </row>
    <row r="240" spans="1:7" x14ac:dyDescent="0.35">
      <c r="A240" s="4"/>
      <c r="B240" s="4"/>
      <c r="C240" s="4"/>
      <c r="D240" s="4"/>
      <c r="E240" s="6"/>
      <c r="F240" s="4"/>
      <c r="G240" s="4"/>
    </row>
    <row r="241" spans="1:7" x14ac:dyDescent="0.35">
      <c r="A241" s="4"/>
      <c r="B241" s="4"/>
      <c r="C241" s="4"/>
      <c r="D241" s="4"/>
      <c r="E241" s="6"/>
      <c r="F241" s="4"/>
      <c r="G241" s="4"/>
    </row>
    <row r="242" spans="1:7" x14ac:dyDescent="0.35">
      <c r="A242" s="4"/>
      <c r="B242" s="4"/>
      <c r="C242" s="4"/>
      <c r="D242" s="4"/>
      <c r="E242" s="6"/>
      <c r="F242" s="4"/>
      <c r="G242" s="4"/>
    </row>
    <row r="243" spans="1:7" x14ac:dyDescent="0.35">
      <c r="A243" s="4"/>
      <c r="B243" s="4"/>
      <c r="C243" s="4"/>
      <c r="D243" s="4"/>
      <c r="E243" s="6"/>
      <c r="F243" s="4"/>
      <c r="G243" s="4"/>
    </row>
    <row r="244" spans="1:7" x14ac:dyDescent="0.35">
      <c r="A244" s="4"/>
      <c r="B244" s="4"/>
      <c r="C244" s="4"/>
      <c r="D244" s="4"/>
      <c r="E244" s="6"/>
      <c r="F244" s="4"/>
      <c r="G244" s="4"/>
    </row>
    <row r="245" spans="1:7" x14ac:dyDescent="0.35">
      <c r="A245" s="4"/>
      <c r="B245" s="4"/>
      <c r="C245" s="4"/>
      <c r="D245" s="4"/>
      <c r="E245" s="6"/>
      <c r="F245" s="4"/>
      <c r="G245" s="4"/>
    </row>
    <row r="246" spans="1:7" x14ac:dyDescent="0.35">
      <c r="A246" s="4"/>
      <c r="B246" s="4"/>
      <c r="C246" s="4"/>
      <c r="D246" s="4"/>
      <c r="E246" s="6"/>
      <c r="F246" s="4"/>
      <c r="G246" s="4"/>
    </row>
    <row r="247" spans="1:7" x14ac:dyDescent="0.35">
      <c r="A247" s="4"/>
      <c r="B247" s="4"/>
      <c r="C247" s="4"/>
      <c r="D247" s="4"/>
      <c r="E247" s="6"/>
      <c r="F247" s="4"/>
      <c r="G247" s="4"/>
    </row>
    <row r="248" spans="1:7" x14ac:dyDescent="0.35">
      <c r="A248" s="4"/>
      <c r="B248" s="4"/>
      <c r="C248" s="4"/>
      <c r="D248" s="4"/>
      <c r="E248" s="6"/>
      <c r="F248" s="4"/>
      <c r="G248" s="4"/>
    </row>
    <row r="249" spans="1:7" x14ac:dyDescent="0.35">
      <c r="A249" s="4"/>
      <c r="B249" s="4"/>
      <c r="C249" s="4"/>
      <c r="D249" s="4"/>
      <c r="E249" s="6"/>
      <c r="F249" s="4"/>
      <c r="G249" s="4"/>
    </row>
    <row r="250" spans="1:7" x14ac:dyDescent="0.35">
      <c r="A250" s="4"/>
      <c r="B250" s="4"/>
      <c r="C250" s="4"/>
      <c r="D250" s="4"/>
      <c r="E250" s="6"/>
      <c r="F250" s="4"/>
      <c r="G250" s="4"/>
    </row>
    <row r="251" spans="1:7" x14ac:dyDescent="0.35">
      <c r="A251" s="4"/>
      <c r="B251" s="4"/>
      <c r="C251" s="4"/>
      <c r="D251" s="4"/>
      <c r="E251" s="6"/>
      <c r="F251" s="4"/>
      <c r="G251" s="4"/>
    </row>
    <row r="252" spans="1:7" x14ac:dyDescent="0.35">
      <c r="A252" s="4"/>
      <c r="B252" s="4"/>
      <c r="C252" s="4"/>
      <c r="D252" s="4"/>
      <c r="E252" s="6"/>
      <c r="F252" s="4"/>
      <c r="G252" s="4"/>
    </row>
    <row r="253" spans="1:7" x14ac:dyDescent="0.35">
      <c r="A253" s="4"/>
      <c r="B253" s="4"/>
      <c r="C253" s="4"/>
      <c r="D253" s="4"/>
      <c r="E253" s="6"/>
      <c r="F253" s="4"/>
      <c r="G253" s="4"/>
    </row>
    <row r="254" spans="1:7" x14ac:dyDescent="0.35">
      <c r="A254" s="4"/>
      <c r="B254" s="4"/>
      <c r="C254" s="4"/>
      <c r="D254" s="4"/>
      <c r="E254" s="6"/>
      <c r="F254" s="4"/>
      <c r="G254" s="4"/>
    </row>
    <row r="255" spans="1:7" x14ac:dyDescent="0.35">
      <c r="A255" s="4"/>
      <c r="B255" s="4"/>
      <c r="C255" s="4"/>
      <c r="D255" s="4"/>
      <c r="E255" s="6"/>
      <c r="F255" s="4"/>
      <c r="G255" s="4"/>
    </row>
    <row r="256" spans="1:7" x14ac:dyDescent="0.35">
      <c r="A256" s="4"/>
      <c r="B256" s="4"/>
      <c r="C256" s="4"/>
      <c r="D256" s="4"/>
      <c r="E256" s="6"/>
      <c r="F256" s="4"/>
      <c r="G256" s="4"/>
    </row>
    <row r="257" spans="1:7" x14ac:dyDescent="0.35">
      <c r="A257" s="4"/>
      <c r="B257" s="4"/>
      <c r="C257" s="4"/>
      <c r="D257" s="4"/>
      <c r="E257" s="6"/>
      <c r="F257" s="4"/>
      <c r="G257" s="4"/>
    </row>
    <row r="258" spans="1:7" x14ac:dyDescent="0.35">
      <c r="A258" s="4"/>
      <c r="B258" s="4"/>
      <c r="C258" s="4"/>
      <c r="D258" s="4"/>
      <c r="E258" s="6"/>
      <c r="F258" s="4"/>
      <c r="G258" s="4"/>
    </row>
    <row r="259" spans="1:7" x14ac:dyDescent="0.35">
      <c r="A259" s="4"/>
      <c r="B259" s="4"/>
      <c r="C259" s="4"/>
      <c r="D259" s="4"/>
      <c r="E259" s="6"/>
      <c r="F259" s="4"/>
      <c r="G259" s="4"/>
    </row>
    <row r="260" spans="1:7" x14ac:dyDescent="0.35">
      <c r="A260" s="4"/>
      <c r="B260" s="4"/>
      <c r="C260" s="4"/>
      <c r="D260" s="4"/>
      <c r="E260" s="6"/>
      <c r="F260" s="4"/>
      <c r="G260" s="4"/>
    </row>
    <row r="261" spans="1:7" x14ac:dyDescent="0.35">
      <c r="A261" s="4"/>
      <c r="B261" s="4"/>
      <c r="C261" s="4"/>
      <c r="D261" s="4"/>
      <c r="E261" s="6"/>
      <c r="F261" s="4"/>
      <c r="G261" s="4"/>
    </row>
    <row r="262" spans="1:7" x14ac:dyDescent="0.35">
      <c r="A262" s="4"/>
      <c r="B262" s="4"/>
      <c r="C262" s="4"/>
      <c r="D262" s="4"/>
      <c r="E262" s="6"/>
      <c r="F262" s="4"/>
      <c r="G262" s="4"/>
    </row>
    <row r="263" spans="1:7" x14ac:dyDescent="0.35">
      <c r="A263" s="4"/>
      <c r="B263" s="4"/>
      <c r="C263" s="4"/>
      <c r="D263" s="4"/>
      <c r="E263" s="6"/>
      <c r="F263" s="4"/>
      <c r="G263" s="4"/>
    </row>
    <row r="264" spans="1:7" x14ac:dyDescent="0.35">
      <c r="A264" s="4"/>
      <c r="B264" s="4"/>
      <c r="C264" s="4"/>
      <c r="D264" s="4"/>
      <c r="E264" s="6"/>
      <c r="F264" s="4"/>
      <c r="G264" s="4"/>
    </row>
    <row r="265" spans="1:7" x14ac:dyDescent="0.35">
      <c r="A265" s="4"/>
      <c r="B265" s="4"/>
      <c r="C265" s="4"/>
      <c r="D265" s="4"/>
      <c r="E265" s="6"/>
      <c r="F265" s="4"/>
      <c r="G265" s="4"/>
    </row>
    <row r="266" spans="1:7" x14ac:dyDescent="0.35">
      <c r="A266" s="4"/>
      <c r="B266" s="4"/>
      <c r="C266" s="4"/>
      <c r="D266" s="4"/>
      <c r="E266" s="6"/>
      <c r="F266" s="4"/>
      <c r="G266" s="4"/>
    </row>
    <row r="267" spans="1:7" x14ac:dyDescent="0.35">
      <c r="A267" s="4"/>
      <c r="B267" s="4"/>
      <c r="C267" s="4"/>
      <c r="D267" s="4"/>
      <c r="E267" s="6"/>
      <c r="F267" s="4"/>
      <c r="G267" s="4"/>
    </row>
    <row r="268" spans="1:7" x14ac:dyDescent="0.35">
      <c r="A268" s="4"/>
      <c r="B268" s="4"/>
      <c r="C268" s="4"/>
      <c r="D268" s="4"/>
      <c r="E268" s="6"/>
      <c r="F268" s="4"/>
      <c r="G268" s="4"/>
    </row>
    <row r="269" spans="1:7" x14ac:dyDescent="0.35">
      <c r="A269" s="4"/>
      <c r="B269" s="4"/>
      <c r="C269" s="4"/>
      <c r="D269" s="4"/>
      <c r="E269" s="6"/>
      <c r="F269" s="4"/>
      <c r="G269" s="4"/>
    </row>
    <row r="270" spans="1:7" x14ac:dyDescent="0.35">
      <c r="A270" s="4"/>
      <c r="B270" s="4"/>
      <c r="C270" s="4"/>
      <c r="D270" s="4"/>
      <c r="E270" s="6"/>
      <c r="F270" s="4"/>
      <c r="G270" s="4"/>
    </row>
    <row r="271" spans="1:7" x14ac:dyDescent="0.35">
      <c r="A271" s="4"/>
      <c r="B271" s="4"/>
      <c r="C271" s="4"/>
      <c r="D271" s="4"/>
      <c r="E271" s="6"/>
      <c r="F271" s="4"/>
      <c r="G271" s="4"/>
    </row>
    <row r="272" spans="1:7" x14ac:dyDescent="0.35">
      <c r="A272" s="4"/>
      <c r="B272" s="4"/>
      <c r="C272" s="4"/>
      <c r="D272" s="4"/>
      <c r="E272" s="6"/>
      <c r="F272" s="4"/>
      <c r="G272" s="4"/>
    </row>
    <row r="273" spans="1:7" x14ac:dyDescent="0.35">
      <c r="A273" s="4"/>
      <c r="B273" s="4"/>
      <c r="C273" s="4"/>
      <c r="D273" s="4"/>
      <c r="E273" s="6"/>
      <c r="F273" s="4"/>
      <c r="G273" s="4"/>
    </row>
    <row r="274" spans="1:7" x14ac:dyDescent="0.35">
      <c r="A274" s="4"/>
      <c r="B274" s="4"/>
      <c r="C274" s="4"/>
      <c r="D274" s="4"/>
      <c r="E274" s="6"/>
      <c r="F274" s="4"/>
      <c r="G274" s="4"/>
    </row>
    <row r="275" spans="1:7" x14ac:dyDescent="0.35">
      <c r="A275" s="4"/>
      <c r="B275" s="4"/>
      <c r="C275" s="4"/>
      <c r="D275" s="4"/>
      <c r="E275" s="6"/>
      <c r="F275" s="4"/>
      <c r="G275" s="4"/>
    </row>
    <row r="276" spans="1:7" x14ac:dyDescent="0.35">
      <c r="A276" s="4"/>
      <c r="B276" s="4"/>
      <c r="C276" s="4"/>
      <c r="D276" s="4"/>
      <c r="E276" s="6"/>
      <c r="F276" s="4"/>
      <c r="G276" s="4"/>
    </row>
    <row r="277" spans="1:7" x14ac:dyDescent="0.35">
      <c r="A277" s="4"/>
      <c r="B277" s="4"/>
      <c r="C277" s="4"/>
      <c r="D277" s="4"/>
      <c r="E277" s="6"/>
      <c r="F277" s="4"/>
      <c r="G277" s="4"/>
    </row>
    <row r="278" spans="1:7" x14ac:dyDescent="0.35">
      <c r="A278" s="4"/>
      <c r="B278" s="4"/>
      <c r="C278" s="4"/>
      <c r="D278" s="4"/>
      <c r="E278" s="6"/>
      <c r="F278" s="4"/>
      <c r="G278" s="4"/>
    </row>
    <row r="279" spans="1:7" x14ac:dyDescent="0.35">
      <c r="A279" s="4"/>
      <c r="B279" s="4"/>
      <c r="C279" s="4"/>
      <c r="D279" s="4"/>
      <c r="E279" s="6"/>
      <c r="F279" s="4"/>
      <c r="G279" s="4"/>
    </row>
    <row r="280" spans="1:7" x14ac:dyDescent="0.35">
      <c r="A280" s="4"/>
      <c r="B280" s="4"/>
      <c r="C280" s="4"/>
      <c r="D280" s="4"/>
      <c r="E280" s="6"/>
      <c r="F280" s="4"/>
      <c r="G280" s="4"/>
    </row>
    <row r="281" spans="1:7" x14ac:dyDescent="0.35">
      <c r="A281" s="4"/>
      <c r="B281" s="4"/>
      <c r="C281" s="4"/>
      <c r="D281" s="4"/>
      <c r="E281" s="6"/>
      <c r="F281" s="4"/>
      <c r="G281" s="4"/>
    </row>
    <row r="282" spans="1:7" x14ac:dyDescent="0.35">
      <c r="A282" s="4"/>
      <c r="B282" s="4"/>
      <c r="C282" s="4"/>
      <c r="D282" s="4"/>
      <c r="E282" s="6"/>
      <c r="F282" s="4"/>
      <c r="G282" s="4"/>
    </row>
    <row r="283" spans="1:7" x14ac:dyDescent="0.35">
      <c r="A283" s="4"/>
      <c r="B283" s="4"/>
      <c r="C283" s="4"/>
      <c r="D283" s="4"/>
      <c r="E283" s="6"/>
      <c r="F283" s="4"/>
      <c r="G283" s="4"/>
    </row>
    <row r="284" spans="1:7" x14ac:dyDescent="0.35">
      <c r="A284" s="4"/>
      <c r="B284" s="4"/>
      <c r="C284" s="4"/>
      <c r="D284" s="4"/>
      <c r="E284" s="6"/>
      <c r="F284" s="4"/>
      <c r="G284" s="4"/>
    </row>
    <row r="285" spans="1:7" x14ac:dyDescent="0.35">
      <c r="A285" s="4"/>
      <c r="B285" s="4"/>
      <c r="C285" s="4"/>
      <c r="D285" s="4"/>
      <c r="E285" s="6"/>
      <c r="F285" s="4"/>
      <c r="G285" s="4"/>
    </row>
    <row r="286" spans="1:7" x14ac:dyDescent="0.35">
      <c r="A286" s="4"/>
      <c r="B286" s="4"/>
      <c r="C286" s="4"/>
      <c r="D286" s="4"/>
      <c r="E286" s="6"/>
      <c r="F286" s="4"/>
      <c r="G286" s="4"/>
    </row>
    <row r="287" spans="1:7" x14ac:dyDescent="0.35">
      <c r="A287" s="4"/>
      <c r="B287" s="4"/>
      <c r="C287" s="4"/>
      <c r="D287" s="4"/>
      <c r="E287" s="6"/>
      <c r="F287" s="4"/>
      <c r="G287" s="4"/>
    </row>
    <row r="288" spans="1:7" x14ac:dyDescent="0.35">
      <c r="A288" s="4"/>
      <c r="B288" s="4"/>
      <c r="C288" s="4"/>
      <c r="D288" s="4"/>
      <c r="E288" s="6"/>
      <c r="F288" s="4"/>
      <c r="G288" s="4"/>
    </row>
    <row r="289" spans="1:7" x14ac:dyDescent="0.35">
      <c r="A289" s="4"/>
      <c r="B289" s="4"/>
      <c r="C289" s="4"/>
      <c r="D289" s="4"/>
      <c r="E289" s="6"/>
      <c r="F289" s="4"/>
      <c r="G289" s="4"/>
    </row>
    <row r="290" spans="1:7" x14ac:dyDescent="0.35">
      <c r="A290" s="4"/>
      <c r="B290" s="4"/>
      <c r="C290" s="4"/>
      <c r="D290" s="4"/>
      <c r="E290" s="6"/>
      <c r="F290" s="4"/>
      <c r="G290" s="4"/>
    </row>
    <row r="291" spans="1:7" x14ac:dyDescent="0.35">
      <c r="A291" s="4"/>
      <c r="B291" s="4"/>
      <c r="C291" s="4"/>
      <c r="D291" s="4"/>
      <c r="E291" s="6"/>
      <c r="F291" s="4"/>
      <c r="G291" s="4"/>
    </row>
    <row r="292" spans="1:7" x14ac:dyDescent="0.35">
      <c r="A292" s="4"/>
      <c r="B292" s="4"/>
      <c r="C292" s="4"/>
      <c r="D292" s="4"/>
      <c r="E292" s="6"/>
      <c r="F292" s="4"/>
      <c r="G292" s="4"/>
    </row>
    <row r="293" spans="1:7" x14ac:dyDescent="0.35">
      <c r="A293" s="4"/>
      <c r="B293" s="4"/>
      <c r="C293" s="4"/>
      <c r="D293" s="4"/>
      <c r="E293" s="6"/>
      <c r="F293" s="4"/>
      <c r="G293" s="4"/>
    </row>
    <row r="294" spans="1:7" x14ac:dyDescent="0.35">
      <c r="A294" s="4"/>
      <c r="B294" s="4"/>
      <c r="C294" s="4"/>
      <c r="D294" s="4"/>
      <c r="E294" s="6"/>
      <c r="F294" s="4"/>
      <c r="G294" s="4"/>
    </row>
    <row r="295" spans="1:7" x14ac:dyDescent="0.35">
      <c r="A295" s="4"/>
      <c r="B295" s="4"/>
      <c r="C295" s="4"/>
      <c r="D295" s="4"/>
      <c r="E295" s="6"/>
      <c r="F295" s="4"/>
      <c r="G295" s="4"/>
    </row>
    <row r="296" spans="1:7" x14ac:dyDescent="0.35">
      <c r="A296" s="4"/>
      <c r="B296" s="4"/>
      <c r="C296" s="4"/>
      <c r="D296" s="4"/>
      <c r="E296" s="6"/>
      <c r="F296" s="4"/>
      <c r="G296" s="4"/>
    </row>
    <row r="297" spans="1:7" x14ac:dyDescent="0.35">
      <c r="A297" s="4"/>
      <c r="B297" s="4"/>
      <c r="C297" s="4"/>
      <c r="D297" s="4"/>
      <c r="E297" s="6"/>
      <c r="F297" s="4"/>
      <c r="G297" s="4"/>
    </row>
    <row r="298" spans="1:7" x14ac:dyDescent="0.35">
      <c r="A298" s="4"/>
      <c r="B298" s="4"/>
      <c r="C298" s="4"/>
      <c r="D298" s="4"/>
      <c r="E298" s="6"/>
      <c r="F298" s="4"/>
      <c r="G298" s="4"/>
    </row>
    <row r="299" spans="1:7" x14ac:dyDescent="0.35">
      <c r="A299" s="4"/>
      <c r="B299" s="4"/>
      <c r="C299" s="4"/>
      <c r="D299" s="4"/>
      <c r="E299" s="6"/>
      <c r="F299" s="4"/>
      <c r="G299" s="4"/>
    </row>
    <row r="300" spans="1:7" x14ac:dyDescent="0.35">
      <c r="A300" s="4"/>
      <c r="B300" s="4"/>
      <c r="C300" s="4"/>
      <c r="D300" s="4"/>
      <c r="E300" s="6"/>
      <c r="F300" s="4"/>
      <c r="G300" s="4"/>
    </row>
    <row r="301" spans="1:7" x14ac:dyDescent="0.35">
      <c r="A301" s="4"/>
      <c r="B301" s="4"/>
      <c r="C301" s="4"/>
      <c r="D301" s="4"/>
      <c r="E301" s="6"/>
      <c r="F301" s="4"/>
      <c r="G301" s="4"/>
    </row>
  </sheetData>
  <conditionalFormatting sqref="A3:G301">
    <cfRule type="expression" dxfId="8" priority="2">
      <formula>MOD(ROW(),2)=0</formula>
    </cfRule>
  </conditionalFormatting>
  <dataValidations count="2">
    <dataValidation type="list" allowBlank="1" sqref="C3:C301" xr:uid="{00000000-0002-0000-0100-000000000000}">
      <formula1>"Initial Meeting,Follow-up,Closing"</formula1>
      <formula2>0</formula2>
    </dataValidation>
    <dataValidation type="list" allowBlank="1" sqref="D3:D301" xr:uid="{00000000-0002-0000-0100-000001000000}">
      <formula1>"Scheduled,Held,No-Show,Rescheduled,Cancelled"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</sheetPr>
  <dimension ref="A1:E2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3" width="20" customWidth="1"/>
    <col min="4" max="4" width="16" customWidth="1"/>
    <col min="5" max="5" width="35" customWidth="1"/>
  </cols>
  <sheetData>
    <row r="1" spans="1:5" x14ac:dyDescent="0.35">
      <c r="A1" s="2" t="s">
        <v>0</v>
      </c>
      <c r="B1" s="2" t="s">
        <v>20</v>
      </c>
      <c r="C1" s="2" t="s">
        <v>21</v>
      </c>
      <c r="D1" s="2" t="s">
        <v>22</v>
      </c>
      <c r="E1" s="2" t="s">
        <v>5</v>
      </c>
    </row>
    <row r="2" spans="1:5" x14ac:dyDescent="0.35">
      <c r="A2" s="3" t="s">
        <v>23</v>
      </c>
      <c r="B2" s="3" t="s">
        <v>7</v>
      </c>
      <c r="C2" s="3" t="s">
        <v>24</v>
      </c>
      <c r="D2" s="5">
        <v>85</v>
      </c>
      <c r="E2" s="3" t="s">
        <v>25</v>
      </c>
    </row>
    <row r="3" spans="1:5" x14ac:dyDescent="0.35">
      <c r="A3" s="4"/>
      <c r="B3" s="4"/>
      <c r="C3" s="4"/>
      <c r="D3" s="6"/>
      <c r="E3" s="4"/>
    </row>
    <row r="4" spans="1:5" x14ac:dyDescent="0.35">
      <c r="A4" s="4"/>
      <c r="B4" s="4"/>
      <c r="C4" s="4"/>
      <c r="D4" s="6"/>
      <c r="E4" s="4"/>
    </row>
    <row r="5" spans="1:5" x14ac:dyDescent="0.35">
      <c r="A5" s="4"/>
      <c r="B5" s="4"/>
      <c r="C5" s="4"/>
      <c r="D5" s="6"/>
      <c r="E5" s="4"/>
    </row>
    <row r="6" spans="1:5" x14ac:dyDescent="0.35">
      <c r="A6" s="4"/>
      <c r="B6" s="4"/>
      <c r="C6" s="4"/>
      <c r="D6" s="6"/>
      <c r="E6" s="4"/>
    </row>
    <row r="7" spans="1:5" x14ac:dyDescent="0.35">
      <c r="A7" s="4"/>
      <c r="B7" s="4"/>
      <c r="C7" s="4"/>
      <c r="D7" s="6"/>
      <c r="E7" s="4"/>
    </row>
    <row r="8" spans="1:5" x14ac:dyDescent="0.35">
      <c r="A8" s="4"/>
      <c r="B8" s="4"/>
      <c r="C8" s="4"/>
      <c r="D8" s="6"/>
      <c r="E8" s="4"/>
    </row>
    <row r="9" spans="1:5" x14ac:dyDescent="0.35">
      <c r="A9" s="4"/>
      <c r="B9" s="4"/>
      <c r="C9" s="4"/>
      <c r="D9" s="6"/>
      <c r="E9" s="4"/>
    </row>
    <row r="10" spans="1:5" x14ac:dyDescent="0.35">
      <c r="A10" s="4"/>
      <c r="B10" s="4"/>
      <c r="C10" s="4"/>
      <c r="D10" s="6"/>
      <c r="E10" s="4"/>
    </row>
    <row r="11" spans="1:5" x14ac:dyDescent="0.35">
      <c r="A11" s="4"/>
      <c r="B11" s="4"/>
      <c r="C11" s="4"/>
      <c r="D11" s="6"/>
      <c r="E11" s="4"/>
    </row>
    <row r="12" spans="1:5" x14ac:dyDescent="0.35">
      <c r="A12" s="4"/>
      <c r="B12" s="4"/>
      <c r="C12" s="4"/>
      <c r="D12" s="6"/>
      <c r="E12" s="4"/>
    </row>
    <row r="13" spans="1:5" x14ac:dyDescent="0.35">
      <c r="A13" s="4"/>
      <c r="B13" s="4"/>
      <c r="C13" s="4"/>
      <c r="D13" s="6"/>
      <c r="E13" s="4"/>
    </row>
    <row r="14" spans="1:5" x14ac:dyDescent="0.35">
      <c r="A14" s="4"/>
      <c r="B14" s="4"/>
      <c r="C14" s="4"/>
      <c r="D14" s="6"/>
      <c r="E14" s="4"/>
    </row>
    <row r="15" spans="1:5" x14ac:dyDescent="0.35">
      <c r="A15" s="4"/>
      <c r="B15" s="4"/>
      <c r="C15" s="4"/>
      <c r="D15" s="6"/>
      <c r="E15" s="4"/>
    </row>
    <row r="16" spans="1:5" x14ac:dyDescent="0.35">
      <c r="A16" s="4"/>
      <c r="B16" s="4"/>
      <c r="C16" s="4"/>
      <c r="D16" s="6"/>
      <c r="E16" s="4"/>
    </row>
    <row r="17" spans="1:5" x14ac:dyDescent="0.35">
      <c r="A17" s="4"/>
      <c r="B17" s="4"/>
      <c r="C17" s="4"/>
      <c r="D17" s="6"/>
      <c r="E17" s="4"/>
    </row>
    <row r="18" spans="1:5" x14ac:dyDescent="0.35">
      <c r="A18" s="4"/>
      <c r="B18" s="4"/>
      <c r="C18" s="4"/>
      <c r="D18" s="6"/>
      <c r="E18" s="4"/>
    </row>
    <row r="19" spans="1:5" x14ac:dyDescent="0.35">
      <c r="A19" s="4"/>
      <c r="B19" s="4"/>
      <c r="C19" s="4"/>
      <c r="D19" s="6"/>
      <c r="E19" s="4"/>
    </row>
    <row r="20" spans="1:5" x14ac:dyDescent="0.35">
      <c r="A20" s="4"/>
      <c r="B20" s="4"/>
      <c r="C20" s="4"/>
      <c r="D20" s="6"/>
      <c r="E20" s="4"/>
    </row>
    <row r="21" spans="1:5" x14ac:dyDescent="0.35">
      <c r="A21" s="4"/>
      <c r="B21" s="4"/>
      <c r="C21" s="4"/>
      <c r="D21" s="6"/>
      <c r="E21" s="4"/>
    </row>
    <row r="22" spans="1:5" x14ac:dyDescent="0.35">
      <c r="A22" s="4"/>
      <c r="B22" s="4"/>
      <c r="C22" s="4"/>
      <c r="D22" s="6"/>
      <c r="E22" s="4"/>
    </row>
    <row r="23" spans="1:5" x14ac:dyDescent="0.35">
      <c r="A23" s="4"/>
      <c r="B23" s="4"/>
      <c r="C23" s="4"/>
      <c r="D23" s="6"/>
      <c r="E23" s="4"/>
    </row>
    <row r="24" spans="1:5" x14ac:dyDescent="0.35">
      <c r="A24" s="4"/>
      <c r="B24" s="4"/>
      <c r="C24" s="4"/>
      <c r="D24" s="6"/>
      <c r="E24" s="4"/>
    </row>
    <row r="25" spans="1:5" x14ac:dyDescent="0.35">
      <c r="A25" s="4"/>
      <c r="B25" s="4"/>
      <c r="C25" s="4"/>
      <c r="D25" s="6"/>
      <c r="E25" s="4"/>
    </row>
    <row r="26" spans="1:5" x14ac:dyDescent="0.35">
      <c r="A26" s="4"/>
      <c r="B26" s="4"/>
      <c r="C26" s="4"/>
      <c r="D26" s="6"/>
      <c r="E26" s="4"/>
    </row>
    <row r="27" spans="1:5" x14ac:dyDescent="0.35">
      <c r="A27" s="4"/>
      <c r="B27" s="4"/>
      <c r="C27" s="4"/>
      <c r="D27" s="6"/>
      <c r="E27" s="4"/>
    </row>
    <row r="28" spans="1:5" x14ac:dyDescent="0.35">
      <c r="A28" s="4"/>
      <c r="B28" s="4"/>
      <c r="C28" s="4"/>
      <c r="D28" s="6"/>
      <c r="E28" s="4"/>
    </row>
    <row r="29" spans="1:5" x14ac:dyDescent="0.35">
      <c r="A29" s="4"/>
      <c r="B29" s="4"/>
      <c r="C29" s="4"/>
      <c r="D29" s="6"/>
      <c r="E29" s="4"/>
    </row>
    <row r="30" spans="1:5" x14ac:dyDescent="0.35">
      <c r="A30" s="4"/>
      <c r="B30" s="4"/>
      <c r="C30" s="4"/>
      <c r="D30" s="6"/>
      <c r="E30" s="4"/>
    </row>
    <row r="31" spans="1:5" x14ac:dyDescent="0.35">
      <c r="A31" s="4"/>
      <c r="B31" s="4"/>
      <c r="C31" s="4"/>
      <c r="D31" s="6"/>
      <c r="E31" s="4"/>
    </row>
    <row r="32" spans="1:5" x14ac:dyDescent="0.35">
      <c r="A32" s="4"/>
      <c r="B32" s="4"/>
      <c r="C32" s="4"/>
      <c r="D32" s="6"/>
      <c r="E32" s="4"/>
    </row>
    <row r="33" spans="1:5" x14ac:dyDescent="0.35">
      <c r="A33" s="4"/>
      <c r="B33" s="4"/>
      <c r="C33" s="4"/>
      <c r="D33" s="6"/>
      <c r="E33" s="4"/>
    </row>
    <row r="34" spans="1:5" x14ac:dyDescent="0.35">
      <c r="A34" s="4"/>
      <c r="B34" s="4"/>
      <c r="C34" s="4"/>
      <c r="D34" s="6"/>
      <c r="E34" s="4"/>
    </row>
    <row r="35" spans="1:5" x14ac:dyDescent="0.35">
      <c r="A35" s="4"/>
      <c r="B35" s="4"/>
      <c r="C35" s="4"/>
      <c r="D35" s="6"/>
      <c r="E35" s="4"/>
    </row>
    <row r="36" spans="1:5" x14ac:dyDescent="0.35">
      <c r="A36" s="4"/>
      <c r="B36" s="4"/>
      <c r="C36" s="4"/>
      <c r="D36" s="6"/>
      <c r="E36" s="4"/>
    </row>
    <row r="37" spans="1:5" x14ac:dyDescent="0.35">
      <c r="A37" s="4"/>
      <c r="B37" s="4"/>
      <c r="C37" s="4"/>
      <c r="D37" s="6"/>
      <c r="E37" s="4"/>
    </row>
    <row r="38" spans="1:5" x14ac:dyDescent="0.35">
      <c r="A38" s="4"/>
      <c r="B38" s="4"/>
      <c r="C38" s="4"/>
      <c r="D38" s="6"/>
      <c r="E38" s="4"/>
    </row>
    <row r="39" spans="1:5" x14ac:dyDescent="0.35">
      <c r="A39" s="4"/>
      <c r="B39" s="4"/>
      <c r="C39" s="4"/>
      <c r="D39" s="6"/>
      <c r="E39" s="4"/>
    </row>
    <row r="40" spans="1:5" x14ac:dyDescent="0.35">
      <c r="A40" s="4"/>
      <c r="B40" s="4"/>
      <c r="C40" s="4"/>
      <c r="D40" s="6"/>
      <c r="E40" s="4"/>
    </row>
    <row r="41" spans="1:5" x14ac:dyDescent="0.35">
      <c r="A41" s="4"/>
      <c r="B41" s="4"/>
      <c r="C41" s="4"/>
      <c r="D41" s="6"/>
      <c r="E41" s="4"/>
    </row>
    <row r="42" spans="1:5" x14ac:dyDescent="0.35">
      <c r="A42" s="4"/>
      <c r="B42" s="4"/>
      <c r="C42" s="4"/>
      <c r="D42" s="6"/>
      <c r="E42" s="4"/>
    </row>
    <row r="43" spans="1:5" x14ac:dyDescent="0.35">
      <c r="A43" s="4"/>
      <c r="B43" s="4"/>
      <c r="C43" s="4"/>
      <c r="D43" s="6"/>
      <c r="E43" s="4"/>
    </row>
    <row r="44" spans="1:5" x14ac:dyDescent="0.35">
      <c r="A44" s="4"/>
      <c r="B44" s="4"/>
      <c r="C44" s="4"/>
      <c r="D44" s="6"/>
      <c r="E44" s="4"/>
    </row>
    <row r="45" spans="1:5" x14ac:dyDescent="0.35">
      <c r="A45" s="4"/>
      <c r="B45" s="4"/>
      <c r="C45" s="4"/>
      <c r="D45" s="6"/>
      <c r="E45" s="4"/>
    </row>
    <row r="46" spans="1:5" x14ac:dyDescent="0.35">
      <c r="A46" s="4"/>
      <c r="B46" s="4"/>
      <c r="C46" s="4"/>
      <c r="D46" s="6"/>
      <c r="E46" s="4"/>
    </row>
    <row r="47" spans="1:5" x14ac:dyDescent="0.35">
      <c r="A47" s="4"/>
      <c r="B47" s="4"/>
      <c r="C47" s="4"/>
      <c r="D47" s="6"/>
      <c r="E47" s="4"/>
    </row>
    <row r="48" spans="1:5" x14ac:dyDescent="0.35">
      <c r="A48" s="4"/>
      <c r="B48" s="4"/>
      <c r="C48" s="4"/>
      <c r="D48" s="6"/>
      <c r="E48" s="4"/>
    </row>
    <row r="49" spans="1:5" x14ac:dyDescent="0.35">
      <c r="A49" s="4"/>
      <c r="B49" s="4"/>
      <c r="C49" s="4"/>
      <c r="D49" s="6"/>
      <c r="E49" s="4"/>
    </row>
    <row r="50" spans="1:5" x14ac:dyDescent="0.35">
      <c r="A50" s="4"/>
      <c r="B50" s="4"/>
      <c r="C50" s="4"/>
      <c r="D50" s="6"/>
      <c r="E50" s="4"/>
    </row>
    <row r="51" spans="1:5" x14ac:dyDescent="0.35">
      <c r="A51" s="4"/>
      <c r="B51" s="4"/>
      <c r="C51" s="4"/>
      <c r="D51" s="6"/>
      <c r="E51" s="4"/>
    </row>
    <row r="52" spans="1:5" x14ac:dyDescent="0.35">
      <c r="A52" s="4"/>
      <c r="B52" s="4"/>
      <c r="C52" s="4"/>
      <c r="D52" s="6"/>
      <c r="E52" s="4"/>
    </row>
    <row r="53" spans="1:5" x14ac:dyDescent="0.35">
      <c r="A53" s="4"/>
      <c r="B53" s="4"/>
      <c r="C53" s="4"/>
      <c r="D53" s="6"/>
      <c r="E53" s="4"/>
    </row>
    <row r="54" spans="1:5" x14ac:dyDescent="0.35">
      <c r="A54" s="4"/>
      <c r="B54" s="4"/>
      <c r="C54" s="4"/>
      <c r="D54" s="6"/>
      <c r="E54" s="4"/>
    </row>
    <row r="55" spans="1:5" x14ac:dyDescent="0.35">
      <c r="A55" s="4"/>
      <c r="B55" s="4"/>
      <c r="C55" s="4"/>
      <c r="D55" s="6"/>
      <c r="E55" s="4"/>
    </row>
    <row r="56" spans="1:5" x14ac:dyDescent="0.35">
      <c r="A56" s="4"/>
      <c r="B56" s="4"/>
      <c r="C56" s="4"/>
      <c r="D56" s="6"/>
      <c r="E56" s="4"/>
    </row>
    <row r="57" spans="1:5" x14ac:dyDescent="0.35">
      <c r="A57" s="4"/>
      <c r="B57" s="4"/>
      <c r="C57" s="4"/>
      <c r="D57" s="6"/>
      <c r="E57" s="4"/>
    </row>
    <row r="58" spans="1:5" x14ac:dyDescent="0.35">
      <c r="A58" s="4"/>
      <c r="B58" s="4"/>
      <c r="C58" s="4"/>
      <c r="D58" s="6"/>
      <c r="E58" s="4"/>
    </row>
    <row r="59" spans="1:5" x14ac:dyDescent="0.35">
      <c r="A59" s="4"/>
      <c r="B59" s="4"/>
      <c r="C59" s="4"/>
      <c r="D59" s="6"/>
      <c r="E59" s="4"/>
    </row>
    <row r="60" spans="1:5" x14ac:dyDescent="0.35">
      <c r="A60" s="4"/>
      <c r="B60" s="4"/>
      <c r="C60" s="4"/>
      <c r="D60" s="6"/>
      <c r="E60" s="4"/>
    </row>
    <row r="61" spans="1:5" x14ac:dyDescent="0.35">
      <c r="A61" s="4"/>
      <c r="B61" s="4"/>
      <c r="C61" s="4"/>
      <c r="D61" s="6"/>
      <c r="E61" s="4"/>
    </row>
    <row r="62" spans="1:5" x14ac:dyDescent="0.35">
      <c r="A62" s="4"/>
      <c r="B62" s="4"/>
      <c r="C62" s="4"/>
      <c r="D62" s="6"/>
      <c r="E62" s="4"/>
    </row>
    <row r="63" spans="1:5" x14ac:dyDescent="0.35">
      <c r="A63" s="4"/>
      <c r="B63" s="4"/>
      <c r="C63" s="4"/>
      <c r="D63" s="6"/>
      <c r="E63" s="4"/>
    </row>
    <row r="64" spans="1:5" x14ac:dyDescent="0.35">
      <c r="A64" s="4"/>
      <c r="B64" s="4"/>
      <c r="C64" s="4"/>
      <c r="D64" s="6"/>
      <c r="E64" s="4"/>
    </row>
    <row r="65" spans="1:5" x14ac:dyDescent="0.35">
      <c r="A65" s="4"/>
      <c r="B65" s="4"/>
      <c r="C65" s="4"/>
      <c r="D65" s="6"/>
      <c r="E65" s="4"/>
    </row>
    <row r="66" spans="1:5" x14ac:dyDescent="0.35">
      <c r="A66" s="4"/>
      <c r="B66" s="4"/>
      <c r="C66" s="4"/>
      <c r="D66" s="6"/>
      <c r="E66" s="4"/>
    </row>
    <row r="67" spans="1:5" x14ac:dyDescent="0.35">
      <c r="A67" s="4"/>
      <c r="B67" s="4"/>
      <c r="C67" s="4"/>
      <c r="D67" s="6"/>
      <c r="E67" s="4"/>
    </row>
    <row r="68" spans="1:5" x14ac:dyDescent="0.35">
      <c r="A68" s="4"/>
      <c r="B68" s="4"/>
      <c r="C68" s="4"/>
      <c r="D68" s="6"/>
      <c r="E68" s="4"/>
    </row>
    <row r="69" spans="1:5" x14ac:dyDescent="0.35">
      <c r="A69" s="4"/>
      <c r="B69" s="4"/>
      <c r="C69" s="4"/>
      <c r="D69" s="6"/>
      <c r="E69" s="4"/>
    </row>
    <row r="70" spans="1:5" x14ac:dyDescent="0.35">
      <c r="A70" s="4"/>
      <c r="B70" s="4"/>
      <c r="C70" s="4"/>
      <c r="D70" s="6"/>
      <c r="E70" s="4"/>
    </row>
    <row r="71" spans="1:5" x14ac:dyDescent="0.35">
      <c r="A71" s="4"/>
      <c r="B71" s="4"/>
      <c r="C71" s="4"/>
      <c r="D71" s="6"/>
      <c r="E71" s="4"/>
    </row>
    <row r="72" spans="1:5" x14ac:dyDescent="0.35">
      <c r="A72" s="4"/>
      <c r="B72" s="4"/>
      <c r="C72" s="4"/>
      <c r="D72" s="6"/>
      <c r="E72" s="4"/>
    </row>
    <row r="73" spans="1:5" x14ac:dyDescent="0.35">
      <c r="A73" s="4"/>
      <c r="B73" s="4"/>
      <c r="C73" s="4"/>
      <c r="D73" s="6"/>
      <c r="E73" s="4"/>
    </row>
    <row r="74" spans="1:5" x14ac:dyDescent="0.35">
      <c r="A74" s="4"/>
      <c r="B74" s="4"/>
      <c r="C74" s="4"/>
      <c r="D74" s="6"/>
      <c r="E74" s="4"/>
    </row>
    <row r="75" spans="1:5" x14ac:dyDescent="0.35">
      <c r="A75" s="4"/>
      <c r="B75" s="4"/>
      <c r="C75" s="4"/>
      <c r="D75" s="6"/>
      <c r="E75" s="4"/>
    </row>
    <row r="76" spans="1:5" x14ac:dyDescent="0.35">
      <c r="A76" s="4"/>
      <c r="B76" s="4"/>
      <c r="C76" s="4"/>
      <c r="D76" s="6"/>
      <c r="E76" s="4"/>
    </row>
    <row r="77" spans="1:5" x14ac:dyDescent="0.35">
      <c r="A77" s="4"/>
      <c r="B77" s="4"/>
      <c r="C77" s="4"/>
      <c r="D77" s="6"/>
      <c r="E77" s="4"/>
    </row>
    <row r="78" spans="1:5" x14ac:dyDescent="0.35">
      <c r="A78" s="4"/>
      <c r="B78" s="4"/>
      <c r="C78" s="4"/>
      <c r="D78" s="6"/>
      <c r="E78" s="4"/>
    </row>
    <row r="79" spans="1:5" x14ac:dyDescent="0.35">
      <c r="A79" s="4"/>
      <c r="B79" s="4"/>
      <c r="C79" s="4"/>
      <c r="D79" s="6"/>
      <c r="E79" s="4"/>
    </row>
    <row r="80" spans="1:5" x14ac:dyDescent="0.35">
      <c r="A80" s="4"/>
      <c r="B80" s="4"/>
      <c r="C80" s="4"/>
      <c r="D80" s="6"/>
      <c r="E80" s="4"/>
    </row>
    <row r="81" spans="1:5" x14ac:dyDescent="0.35">
      <c r="A81" s="4"/>
      <c r="B81" s="4"/>
      <c r="C81" s="4"/>
      <c r="D81" s="6"/>
      <c r="E81" s="4"/>
    </row>
    <row r="82" spans="1:5" x14ac:dyDescent="0.35">
      <c r="A82" s="4"/>
      <c r="B82" s="4"/>
      <c r="C82" s="4"/>
      <c r="D82" s="6"/>
      <c r="E82" s="4"/>
    </row>
    <row r="83" spans="1:5" x14ac:dyDescent="0.35">
      <c r="A83" s="4"/>
      <c r="B83" s="4"/>
      <c r="C83" s="4"/>
      <c r="D83" s="6"/>
      <c r="E83" s="4"/>
    </row>
    <row r="84" spans="1:5" x14ac:dyDescent="0.35">
      <c r="A84" s="4"/>
      <c r="B84" s="4"/>
      <c r="C84" s="4"/>
      <c r="D84" s="6"/>
      <c r="E84" s="4"/>
    </row>
    <row r="85" spans="1:5" x14ac:dyDescent="0.35">
      <c r="A85" s="4"/>
      <c r="B85" s="4"/>
      <c r="C85" s="4"/>
      <c r="D85" s="6"/>
      <c r="E85" s="4"/>
    </row>
    <row r="86" spans="1:5" x14ac:dyDescent="0.35">
      <c r="A86" s="4"/>
      <c r="B86" s="4"/>
      <c r="C86" s="4"/>
      <c r="D86" s="6"/>
      <c r="E86" s="4"/>
    </row>
    <row r="87" spans="1:5" x14ac:dyDescent="0.35">
      <c r="A87" s="4"/>
      <c r="B87" s="4"/>
      <c r="C87" s="4"/>
      <c r="D87" s="6"/>
      <c r="E87" s="4"/>
    </row>
    <row r="88" spans="1:5" x14ac:dyDescent="0.35">
      <c r="A88" s="4"/>
      <c r="B88" s="4"/>
      <c r="C88" s="4"/>
      <c r="D88" s="6"/>
      <c r="E88" s="4"/>
    </row>
    <row r="89" spans="1:5" x14ac:dyDescent="0.35">
      <c r="A89" s="4"/>
      <c r="B89" s="4"/>
      <c r="C89" s="4"/>
      <c r="D89" s="6"/>
      <c r="E89" s="4"/>
    </row>
    <row r="90" spans="1:5" x14ac:dyDescent="0.35">
      <c r="A90" s="4"/>
      <c r="B90" s="4"/>
      <c r="C90" s="4"/>
      <c r="D90" s="6"/>
      <c r="E90" s="4"/>
    </row>
    <row r="91" spans="1:5" x14ac:dyDescent="0.35">
      <c r="A91" s="4"/>
      <c r="B91" s="4"/>
      <c r="C91" s="4"/>
      <c r="D91" s="6"/>
      <c r="E91" s="4"/>
    </row>
    <row r="92" spans="1:5" x14ac:dyDescent="0.35">
      <c r="A92" s="4"/>
      <c r="B92" s="4"/>
      <c r="C92" s="4"/>
      <c r="D92" s="6"/>
      <c r="E92" s="4"/>
    </row>
    <row r="93" spans="1:5" x14ac:dyDescent="0.35">
      <c r="A93" s="4"/>
      <c r="B93" s="4"/>
      <c r="C93" s="4"/>
      <c r="D93" s="6"/>
      <c r="E93" s="4"/>
    </row>
    <row r="94" spans="1:5" x14ac:dyDescent="0.35">
      <c r="A94" s="4"/>
      <c r="B94" s="4"/>
      <c r="C94" s="4"/>
      <c r="D94" s="6"/>
      <c r="E94" s="4"/>
    </row>
    <row r="95" spans="1:5" x14ac:dyDescent="0.35">
      <c r="A95" s="4"/>
      <c r="B95" s="4"/>
      <c r="C95" s="4"/>
      <c r="D95" s="6"/>
      <c r="E95" s="4"/>
    </row>
    <row r="96" spans="1:5" x14ac:dyDescent="0.35">
      <c r="A96" s="4"/>
      <c r="B96" s="4"/>
      <c r="C96" s="4"/>
      <c r="D96" s="6"/>
      <c r="E96" s="4"/>
    </row>
    <row r="97" spans="1:5" x14ac:dyDescent="0.35">
      <c r="A97" s="4"/>
      <c r="B97" s="4"/>
      <c r="C97" s="4"/>
      <c r="D97" s="6"/>
      <c r="E97" s="4"/>
    </row>
    <row r="98" spans="1:5" x14ac:dyDescent="0.35">
      <c r="A98" s="4"/>
      <c r="B98" s="4"/>
      <c r="C98" s="4"/>
      <c r="D98" s="6"/>
      <c r="E98" s="4"/>
    </row>
    <row r="99" spans="1:5" x14ac:dyDescent="0.35">
      <c r="A99" s="4"/>
      <c r="B99" s="4"/>
      <c r="C99" s="4"/>
      <c r="D99" s="6"/>
      <c r="E99" s="4"/>
    </row>
    <row r="100" spans="1:5" x14ac:dyDescent="0.35">
      <c r="A100" s="4"/>
      <c r="B100" s="4"/>
      <c r="C100" s="4"/>
      <c r="D100" s="6"/>
      <c r="E100" s="4"/>
    </row>
    <row r="101" spans="1:5" x14ac:dyDescent="0.35">
      <c r="A101" s="4"/>
      <c r="B101" s="4"/>
      <c r="C101" s="4"/>
      <c r="D101" s="6"/>
      <c r="E101" s="4"/>
    </row>
    <row r="102" spans="1:5" x14ac:dyDescent="0.35">
      <c r="A102" s="4"/>
      <c r="B102" s="4"/>
      <c r="C102" s="4"/>
      <c r="D102" s="6"/>
      <c r="E102" s="4"/>
    </row>
    <row r="103" spans="1:5" x14ac:dyDescent="0.35">
      <c r="A103" s="4"/>
      <c r="B103" s="4"/>
      <c r="C103" s="4"/>
      <c r="D103" s="6"/>
      <c r="E103" s="4"/>
    </row>
    <row r="104" spans="1:5" x14ac:dyDescent="0.35">
      <c r="A104" s="4"/>
      <c r="B104" s="4"/>
      <c r="C104" s="4"/>
      <c r="D104" s="6"/>
      <c r="E104" s="4"/>
    </row>
    <row r="105" spans="1:5" x14ac:dyDescent="0.35">
      <c r="A105" s="4"/>
      <c r="B105" s="4"/>
      <c r="C105" s="4"/>
      <c r="D105" s="6"/>
      <c r="E105" s="4"/>
    </row>
    <row r="106" spans="1:5" x14ac:dyDescent="0.35">
      <c r="A106" s="4"/>
      <c r="B106" s="4"/>
      <c r="C106" s="4"/>
      <c r="D106" s="6"/>
      <c r="E106" s="4"/>
    </row>
    <row r="107" spans="1:5" x14ac:dyDescent="0.35">
      <c r="A107" s="4"/>
      <c r="B107" s="4"/>
      <c r="C107" s="4"/>
      <c r="D107" s="6"/>
      <c r="E107" s="4"/>
    </row>
    <row r="108" spans="1:5" x14ac:dyDescent="0.35">
      <c r="A108" s="4"/>
      <c r="B108" s="4"/>
      <c r="C108" s="4"/>
      <c r="D108" s="6"/>
      <c r="E108" s="4"/>
    </row>
    <row r="109" spans="1:5" x14ac:dyDescent="0.35">
      <c r="A109" s="4"/>
      <c r="B109" s="4"/>
      <c r="C109" s="4"/>
      <c r="D109" s="6"/>
      <c r="E109" s="4"/>
    </row>
    <row r="110" spans="1:5" x14ac:dyDescent="0.35">
      <c r="A110" s="4"/>
      <c r="B110" s="4"/>
      <c r="C110" s="4"/>
      <c r="D110" s="6"/>
      <c r="E110" s="4"/>
    </row>
    <row r="111" spans="1:5" x14ac:dyDescent="0.35">
      <c r="A111" s="4"/>
      <c r="B111" s="4"/>
      <c r="C111" s="4"/>
      <c r="D111" s="6"/>
      <c r="E111" s="4"/>
    </row>
    <row r="112" spans="1:5" x14ac:dyDescent="0.35">
      <c r="A112" s="4"/>
      <c r="B112" s="4"/>
      <c r="C112" s="4"/>
      <c r="D112" s="6"/>
      <c r="E112" s="4"/>
    </row>
    <row r="113" spans="1:5" x14ac:dyDescent="0.35">
      <c r="A113" s="4"/>
      <c r="B113" s="4"/>
      <c r="C113" s="4"/>
      <c r="D113" s="6"/>
      <c r="E113" s="4"/>
    </row>
    <row r="114" spans="1:5" x14ac:dyDescent="0.35">
      <c r="A114" s="4"/>
      <c r="B114" s="4"/>
      <c r="C114" s="4"/>
      <c r="D114" s="6"/>
      <c r="E114" s="4"/>
    </row>
    <row r="115" spans="1:5" x14ac:dyDescent="0.35">
      <c r="A115" s="4"/>
      <c r="B115" s="4"/>
      <c r="C115" s="4"/>
      <c r="D115" s="6"/>
      <c r="E115" s="4"/>
    </row>
    <row r="116" spans="1:5" x14ac:dyDescent="0.35">
      <c r="A116" s="4"/>
      <c r="B116" s="4"/>
      <c r="C116" s="4"/>
      <c r="D116" s="6"/>
      <c r="E116" s="4"/>
    </row>
    <row r="117" spans="1:5" x14ac:dyDescent="0.35">
      <c r="A117" s="4"/>
      <c r="B117" s="4"/>
      <c r="C117" s="4"/>
      <c r="D117" s="6"/>
      <c r="E117" s="4"/>
    </row>
    <row r="118" spans="1:5" x14ac:dyDescent="0.35">
      <c r="A118" s="4"/>
      <c r="B118" s="4"/>
      <c r="C118" s="4"/>
      <c r="D118" s="6"/>
      <c r="E118" s="4"/>
    </row>
    <row r="119" spans="1:5" x14ac:dyDescent="0.35">
      <c r="A119" s="4"/>
      <c r="B119" s="4"/>
      <c r="C119" s="4"/>
      <c r="D119" s="6"/>
      <c r="E119" s="4"/>
    </row>
    <row r="120" spans="1:5" x14ac:dyDescent="0.35">
      <c r="A120" s="4"/>
      <c r="B120" s="4"/>
      <c r="C120" s="4"/>
      <c r="D120" s="6"/>
      <c r="E120" s="4"/>
    </row>
    <row r="121" spans="1:5" x14ac:dyDescent="0.35">
      <c r="A121" s="4"/>
      <c r="B121" s="4"/>
      <c r="C121" s="4"/>
      <c r="D121" s="6"/>
      <c r="E121" s="4"/>
    </row>
    <row r="122" spans="1:5" x14ac:dyDescent="0.35">
      <c r="A122" s="4"/>
      <c r="B122" s="4"/>
      <c r="C122" s="4"/>
      <c r="D122" s="6"/>
      <c r="E122" s="4"/>
    </row>
    <row r="123" spans="1:5" x14ac:dyDescent="0.35">
      <c r="A123" s="4"/>
      <c r="B123" s="4"/>
      <c r="C123" s="4"/>
      <c r="D123" s="6"/>
      <c r="E123" s="4"/>
    </row>
    <row r="124" spans="1:5" x14ac:dyDescent="0.35">
      <c r="A124" s="4"/>
      <c r="B124" s="4"/>
      <c r="C124" s="4"/>
      <c r="D124" s="6"/>
      <c r="E124" s="4"/>
    </row>
    <row r="125" spans="1:5" x14ac:dyDescent="0.35">
      <c r="A125" s="4"/>
      <c r="B125" s="4"/>
      <c r="C125" s="4"/>
      <c r="D125" s="6"/>
      <c r="E125" s="4"/>
    </row>
    <row r="126" spans="1:5" x14ac:dyDescent="0.35">
      <c r="A126" s="4"/>
      <c r="B126" s="4"/>
      <c r="C126" s="4"/>
      <c r="D126" s="6"/>
      <c r="E126" s="4"/>
    </row>
    <row r="127" spans="1:5" x14ac:dyDescent="0.35">
      <c r="A127" s="4"/>
      <c r="B127" s="4"/>
      <c r="C127" s="4"/>
      <c r="D127" s="6"/>
      <c r="E127" s="4"/>
    </row>
    <row r="128" spans="1:5" x14ac:dyDescent="0.35">
      <c r="A128" s="4"/>
      <c r="B128" s="4"/>
      <c r="C128" s="4"/>
      <c r="D128" s="6"/>
      <c r="E128" s="4"/>
    </row>
    <row r="129" spans="1:5" x14ac:dyDescent="0.35">
      <c r="A129" s="4"/>
      <c r="B129" s="4"/>
      <c r="C129" s="4"/>
      <c r="D129" s="6"/>
      <c r="E129" s="4"/>
    </row>
    <row r="130" spans="1:5" x14ac:dyDescent="0.35">
      <c r="A130" s="4"/>
      <c r="B130" s="4"/>
      <c r="C130" s="4"/>
      <c r="D130" s="6"/>
      <c r="E130" s="4"/>
    </row>
    <row r="131" spans="1:5" x14ac:dyDescent="0.35">
      <c r="A131" s="4"/>
      <c r="B131" s="4"/>
      <c r="C131" s="4"/>
      <c r="D131" s="6"/>
      <c r="E131" s="4"/>
    </row>
    <row r="132" spans="1:5" x14ac:dyDescent="0.35">
      <c r="A132" s="4"/>
      <c r="B132" s="4"/>
      <c r="C132" s="4"/>
      <c r="D132" s="6"/>
      <c r="E132" s="4"/>
    </row>
    <row r="133" spans="1:5" x14ac:dyDescent="0.35">
      <c r="A133" s="4"/>
      <c r="B133" s="4"/>
      <c r="C133" s="4"/>
      <c r="D133" s="6"/>
      <c r="E133" s="4"/>
    </row>
    <row r="134" spans="1:5" x14ac:dyDescent="0.35">
      <c r="A134" s="4"/>
      <c r="B134" s="4"/>
      <c r="C134" s="4"/>
      <c r="D134" s="6"/>
      <c r="E134" s="4"/>
    </row>
    <row r="135" spans="1:5" x14ac:dyDescent="0.35">
      <c r="A135" s="4"/>
      <c r="B135" s="4"/>
      <c r="C135" s="4"/>
      <c r="D135" s="6"/>
      <c r="E135" s="4"/>
    </row>
    <row r="136" spans="1:5" x14ac:dyDescent="0.35">
      <c r="A136" s="4"/>
      <c r="B136" s="4"/>
      <c r="C136" s="4"/>
      <c r="D136" s="6"/>
      <c r="E136" s="4"/>
    </row>
    <row r="137" spans="1:5" x14ac:dyDescent="0.35">
      <c r="A137" s="4"/>
      <c r="B137" s="4"/>
      <c r="C137" s="4"/>
      <c r="D137" s="6"/>
      <c r="E137" s="4"/>
    </row>
    <row r="138" spans="1:5" x14ac:dyDescent="0.35">
      <c r="A138" s="4"/>
      <c r="B138" s="4"/>
      <c r="C138" s="4"/>
      <c r="D138" s="6"/>
      <c r="E138" s="4"/>
    </row>
    <row r="139" spans="1:5" x14ac:dyDescent="0.35">
      <c r="A139" s="4"/>
      <c r="B139" s="4"/>
      <c r="C139" s="4"/>
      <c r="D139" s="6"/>
      <c r="E139" s="4"/>
    </row>
    <row r="140" spans="1:5" x14ac:dyDescent="0.35">
      <c r="A140" s="4"/>
      <c r="B140" s="4"/>
      <c r="C140" s="4"/>
      <c r="D140" s="6"/>
      <c r="E140" s="4"/>
    </row>
    <row r="141" spans="1:5" x14ac:dyDescent="0.35">
      <c r="A141" s="4"/>
      <c r="B141" s="4"/>
      <c r="C141" s="4"/>
      <c r="D141" s="6"/>
      <c r="E141" s="4"/>
    </row>
    <row r="142" spans="1:5" x14ac:dyDescent="0.35">
      <c r="A142" s="4"/>
      <c r="B142" s="4"/>
      <c r="C142" s="4"/>
      <c r="D142" s="6"/>
      <c r="E142" s="4"/>
    </row>
    <row r="143" spans="1:5" x14ac:dyDescent="0.35">
      <c r="A143" s="4"/>
      <c r="B143" s="4"/>
      <c r="C143" s="4"/>
      <c r="D143" s="6"/>
      <c r="E143" s="4"/>
    </row>
    <row r="144" spans="1:5" x14ac:dyDescent="0.35">
      <c r="A144" s="4"/>
      <c r="B144" s="4"/>
      <c r="C144" s="4"/>
      <c r="D144" s="6"/>
      <c r="E144" s="4"/>
    </row>
    <row r="145" spans="1:5" x14ac:dyDescent="0.35">
      <c r="A145" s="4"/>
      <c r="B145" s="4"/>
      <c r="C145" s="4"/>
      <c r="D145" s="6"/>
      <c r="E145" s="4"/>
    </row>
    <row r="146" spans="1:5" x14ac:dyDescent="0.35">
      <c r="A146" s="4"/>
      <c r="B146" s="4"/>
      <c r="C146" s="4"/>
      <c r="D146" s="6"/>
      <c r="E146" s="4"/>
    </row>
    <row r="147" spans="1:5" x14ac:dyDescent="0.35">
      <c r="A147" s="4"/>
      <c r="B147" s="4"/>
      <c r="C147" s="4"/>
      <c r="D147" s="6"/>
      <c r="E147" s="4"/>
    </row>
    <row r="148" spans="1:5" x14ac:dyDescent="0.35">
      <c r="A148" s="4"/>
      <c r="B148" s="4"/>
      <c r="C148" s="4"/>
      <c r="D148" s="6"/>
      <c r="E148" s="4"/>
    </row>
    <row r="149" spans="1:5" x14ac:dyDescent="0.35">
      <c r="A149" s="4"/>
      <c r="B149" s="4"/>
      <c r="C149" s="4"/>
      <c r="D149" s="6"/>
      <c r="E149" s="4"/>
    </row>
    <row r="150" spans="1:5" x14ac:dyDescent="0.35">
      <c r="A150" s="4"/>
      <c r="B150" s="4"/>
      <c r="C150" s="4"/>
      <c r="D150" s="6"/>
      <c r="E150" s="4"/>
    </row>
    <row r="151" spans="1:5" x14ac:dyDescent="0.35">
      <c r="A151" s="4"/>
      <c r="B151" s="4"/>
      <c r="C151" s="4"/>
      <c r="D151" s="6"/>
      <c r="E151" s="4"/>
    </row>
    <row r="152" spans="1:5" x14ac:dyDescent="0.35">
      <c r="A152" s="4"/>
      <c r="B152" s="4"/>
      <c r="C152" s="4"/>
      <c r="D152" s="6"/>
      <c r="E152" s="4"/>
    </row>
    <row r="153" spans="1:5" x14ac:dyDescent="0.35">
      <c r="A153" s="4"/>
      <c r="B153" s="4"/>
      <c r="C153" s="4"/>
      <c r="D153" s="6"/>
      <c r="E153" s="4"/>
    </row>
    <row r="154" spans="1:5" x14ac:dyDescent="0.35">
      <c r="A154" s="4"/>
      <c r="B154" s="4"/>
      <c r="C154" s="4"/>
      <c r="D154" s="6"/>
      <c r="E154" s="4"/>
    </row>
    <row r="155" spans="1:5" x14ac:dyDescent="0.35">
      <c r="A155" s="4"/>
      <c r="B155" s="4"/>
      <c r="C155" s="4"/>
      <c r="D155" s="6"/>
      <c r="E155" s="4"/>
    </row>
    <row r="156" spans="1:5" x14ac:dyDescent="0.35">
      <c r="A156" s="4"/>
      <c r="B156" s="4"/>
      <c r="C156" s="4"/>
      <c r="D156" s="6"/>
      <c r="E156" s="4"/>
    </row>
    <row r="157" spans="1:5" x14ac:dyDescent="0.35">
      <c r="A157" s="4"/>
      <c r="B157" s="4"/>
      <c r="C157" s="4"/>
      <c r="D157" s="6"/>
      <c r="E157" s="4"/>
    </row>
    <row r="158" spans="1:5" x14ac:dyDescent="0.35">
      <c r="A158" s="4"/>
      <c r="B158" s="4"/>
      <c r="C158" s="4"/>
      <c r="D158" s="6"/>
      <c r="E158" s="4"/>
    </row>
    <row r="159" spans="1:5" x14ac:dyDescent="0.35">
      <c r="A159" s="4"/>
      <c r="B159" s="4"/>
      <c r="C159" s="4"/>
      <c r="D159" s="6"/>
      <c r="E159" s="4"/>
    </row>
    <row r="160" spans="1:5" x14ac:dyDescent="0.35">
      <c r="A160" s="4"/>
      <c r="B160" s="4"/>
      <c r="C160" s="4"/>
      <c r="D160" s="6"/>
      <c r="E160" s="4"/>
    </row>
    <row r="161" spans="1:5" x14ac:dyDescent="0.35">
      <c r="A161" s="4"/>
      <c r="B161" s="4"/>
      <c r="C161" s="4"/>
      <c r="D161" s="6"/>
      <c r="E161" s="4"/>
    </row>
    <row r="162" spans="1:5" x14ac:dyDescent="0.35">
      <c r="A162" s="4"/>
      <c r="B162" s="4"/>
      <c r="C162" s="4"/>
      <c r="D162" s="6"/>
      <c r="E162" s="4"/>
    </row>
    <row r="163" spans="1:5" x14ac:dyDescent="0.35">
      <c r="A163" s="4"/>
      <c r="B163" s="4"/>
      <c r="C163" s="4"/>
      <c r="D163" s="6"/>
      <c r="E163" s="4"/>
    </row>
    <row r="164" spans="1:5" x14ac:dyDescent="0.35">
      <c r="A164" s="4"/>
      <c r="B164" s="4"/>
      <c r="C164" s="4"/>
      <c r="D164" s="6"/>
      <c r="E164" s="4"/>
    </row>
    <row r="165" spans="1:5" x14ac:dyDescent="0.35">
      <c r="A165" s="4"/>
      <c r="B165" s="4"/>
      <c r="C165" s="4"/>
      <c r="D165" s="6"/>
      <c r="E165" s="4"/>
    </row>
    <row r="166" spans="1:5" x14ac:dyDescent="0.35">
      <c r="A166" s="4"/>
      <c r="B166" s="4"/>
      <c r="C166" s="4"/>
      <c r="D166" s="6"/>
      <c r="E166" s="4"/>
    </row>
    <row r="167" spans="1:5" x14ac:dyDescent="0.35">
      <c r="A167" s="4"/>
      <c r="B167" s="4"/>
      <c r="C167" s="4"/>
      <c r="D167" s="6"/>
      <c r="E167" s="4"/>
    </row>
    <row r="168" spans="1:5" x14ac:dyDescent="0.35">
      <c r="A168" s="4"/>
      <c r="B168" s="4"/>
      <c r="C168" s="4"/>
      <c r="D168" s="6"/>
      <c r="E168" s="4"/>
    </row>
    <row r="169" spans="1:5" x14ac:dyDescent="0.35">
      <c r="A169" s="4"/>
      <c r="B169" s="4"/>
      <c r="C169" s="4"/>
      <c r="D169" s="6"/>
      <c r="E169" s="4"/>
    </row>
    <row r="170" spans="1:5" x14ac:dyDescent="0.35">
      <c r="A170" s="4"/>
      <c r="B170" s="4"/>
      <c r="C170" s="4"/>
      <c r="D170" s="6"/>
      <c r="E170" s="4"/>
    </row>
    <row r="171" spans="1:5" x14ac:dyDescent="0.35">
      <c r="A171" s="4"/>
      <c r="B171" s="4"/>
      <c r="C171" s="4"/>
      <c r="D171" s="6"/>
      <c r="E171" s="4"/>
    </row>
    <row r="172" spans="1:5" x14ac:dyDescent="0.35">
      <c r="A172" s="4"/>
      <c r="B172" s="4"/>
      <c r="C172" s="4"/>
      <c r="D172" s="6"/>
      <c r="E172" s="4"/>
    </row>
    <row r="173" spans="1:5" x14ac:dyDescent="0.35">
      <c r="A173" s="4"/>
      <c r="B173" s="4"/>
      <c r="C173" s="4"/>
      <c r="D173" s="6"/>
      <c r="E173" s="4"/>
    </row>
    <row r="174" spans="1:5" x14ac:dyDescent="0.35">
      <c r="A174" s="4"/>
      <c r="B174" s="4"/>
      <c r="C174" s="4"/>
      <c r="D174" s="6"/>
      <c r="E174" s="4"/>
    </row>
    <row r="175" spans="1:5" x14ac:dyDescent="0.35">
      <c r="A175" s="4"/>
      <c r="B175" s="4"/>
      <c r="C175" s="4"/>
      <c r="D175" s="6"/>
      <c r="E175" s="4"/>
    </row>
    <row r="176" spans="1:5" x14ac:dyDescent="0.35">
      <c r="A176" s="4"/>
      <c r="B176" s="4"/>
      <c r="C176" s="4"/>
      <c r="D176" s="6"/>
      <c r="E176" s="4"/>
    </row>
    <row r="177" spans="1:5" x14ac:dyDescent="0.35">
      <c r="A177" s="4"/>
      <c r="B177" s="4"/>
      <c r="C177" s="4"/>
      <c r="D177" s="6"/>
      <c r="E177" s="4"/>
    </row>
    <row r="178" spans="1:5" x14ac:dyDescent="0.35">
      <c r="A178" s="4"/>
      <c r="B178" s="4"/>
      <c r="C178" s="4"/>
      <c r="D178" s="6"/>
      <c r="E178" s="4"/>
    </row>
    <row r="179" spans="1:5" x14ac:dyDescent="0.35">
      <c r="A179" s="4"/>
      <c r="B179" s="4"/>
      <c r="C179" s="4"/>
      <c r="D179" s="6"/>
      <c r="E179" s="4"/>
    </row>
    <row r="180" spans="1:5" x14ac:dyDescent="0.35">
      <c r="A180" s="4"/>
      <c r="B180" s="4"/>
      <c r="C180" s="4"/>
      <c r="D180" s="6"/>
      <c r="E180" s="4"/>
    </row>
    <row r="181" spans="1:5" x14ac:dyDescent="0.35">
      <c r="A181" s="4"/>
      <c r="B181" s="4"/>
      <c r="C181" s="4"/>
      <c r="D181" s="6"/>
      <c r="E181" s="4"/>
    </row>
    <row r="182" spans="1:5" x14ac:dyDescent="0.35">
      <c r="A182" s="4"/>
      <c r="B182" s="4"/>
      <c r="C182" s="4"/>
      <c r="D182" s="6"/>
      <c r="E182" s="4"/>
    </row>
    <row r="183" spans="1:5" x14ac:dyDescent="0.35">
      <c r="A183" s="4"/>
      <c r="B183" s="4"/>
      <c r="C183" s="4"/>
      <c r="D183" s="6"/>
      <c r="E183" s="4"/>
    </row>
    <row r="184" spans="1:5" x14ac:dyDescent="0.35">
      <c r="A184" s="4"/>
      <c r="B184" s="4"/>
      <c r="C184" s="4"/>
      <c r="D184" s="6"/>
      <c r="E184" s="4"/>
    </row>
    <row r="185" spans="1:5" x14ac:dyDescent="0.35">
      <c r="A185" s="4"/>
      <c r="B185" s="4"/>
      <c r="C185" s="4"/>
      <c r="D185" s="6"/>
      <c r="E185" s="4"/>
    </row>
    <row r="186" spans="1:5" x14ac:dyDescent="0.35">
      <c r="A186" s="4"/>
      <c r="B186" s="4"/>
      <c r="C186" s="4"/>
      <c r="D186" s="6"/>
      <c r="E186" s="4"/>
    </row>
    <row r="187" spans="1:5" x14ac:dyDescent="0.35">
      <c r="A187" s="4"/>
      <c r="B187" s="4"/>
      <c r="C187" s="4"/>
      <c r="D187" s="6"/>
      <c r="E187" s="4"/>
    </row>
    <row r="188" spans="1:5" x14ac:dyDescent="0.35">
      <c r="A188" s="4"/>
      <c r="B188" s="4"/>
      <c r="C188" s="4"/>
      <c r="D188" s="6"/>
      <c r="E188" s="4"/>
    </row>
    <row r="189" spans="1:5" x14ac:dyDescent="0.35">
      <c r="A189" s="4"/>
      <c r="B189" s="4"/>
      <c r="C189" s="4"/>
      <c r="D189" s="6"/>
      <c r="E189" s="4"/>
    </row>
    <row r="190" spans="1:5" x14ac:dyDescent="0.35">
      <c r="A190" s="4"/>
      <c r="B190" s="4"/>
      <c r="C190" s="4"/>
      <c r="D190" s="6"/>
      <c r="E190" s="4"/>
    </row>
    <row r="191" spans="1:5" x14ac:dyDescent="0.35">
      <c r="A191" s="4"/>
      <c r="B191" s="4"/>
      <c r="C191" s="4"/>
      <c r="D191" s="6"/>
      <c r="E191" s="4"/>
    </row>
    <row r="192" spans="1:5" x14ac:dyDescent="0.35">
      <c r="A192" s="4"/>
      <c r="B192" s="4"/>
      <c r="C192" s="4"/>
      <c r="D192" s="6"/>
      <c r="E192" s="4"/>
    </row>
    <row r="193" spans="1:5" x14ac:dyDescent="0.35">
      <c r="A193" s="4"/>
      <c r="B193" s="4"/>
      <c r="C193" s="4"/>
      <c r="D193" s="6"/>
      <c r="E193" s="4"/>
    </row>
    <row r="194" spans="1:5" x14ac:dyDescent="0.35">
      <c r="A194" s="4"/>
      <c r="B194" s="4"/>
      <c r="C194" s="4"/>
      <c r="D194" s="6"/>
      <c r="E194" s="4"/>
    </row>
    <row r="195" spans="1:5" x14ac:dyDescent="0.35">
      <c r="A195" s="4"/>
      <c r="B195" s="4"/>
      <c r="C195" s="4"/>
      <c r="D195" s="6"/>
      <c r="E195" s="4"/>
    </row>
    <row r="196" spans="1:5" x14ac:dyDescent="0.35">
      <c r="A196" s="4"/>
      <c r="B196" s="4"/>
      <c r="C196" s="4"/>
      <c r="D196" s="6"/>
      <c r="E196" s="4"/>
    </row>
    <row r="197" spans="1:5" x14ac:dyDescent="0.35">
      <c r="A197" s="4"/>
      <c r="B197" s="4"/>
      <c r="C197" s="4"/>
      <c r="D197" s="6"/>
      <c r="E197" s="4"/>
    </row>
    <row r="198" spans="1:5" x14ac:dyDescent="0.35">
      <c r="A198" s="4"/>
      <c r="B198" s="4"/>
      <c r="C198" s="4"/>
      <c r="D198" s="6"/>
      <c r="E198" s="4"/>
    </row>
    <row r="199" spans="1:5" x14ac:dyDescent="0.35">
      <c r="A199" s="4"/>
      <c r="B199" s="4"/>
      <c r="C199" s="4"/>
      <c r="D199" s="6"/>
      <c r="E199" s="4"/>
    </row>
    <row r="200" spans="1:5" x14ac:dyDescent="0.35">
      <c r="A200" s="4"/>
      <c r="B200" s="4"/>
      <c r="C200" s="4"/>
      <c r="D200" s="6"/>
      <c r="E200" s="4"/>
    </row>
    <row r="201" spans="1:5" x14ac:dyDescent="0.35">
      <c r="A201" s="4"/>
      <c r="B201" s="4"/>
      <c r="C201" s="4"/>
      <c r="D201" s="6"/>
      <c r="E201" s="4"/>
    </row>
  </sheetData>
  <conditionalFormatting sqref="A3:E201">
    <cfRule type="expression" dxfId="7" priority="2">
      <formula>MOD(ROW(),2)=0</formula>
    </cfRule>
  </conditionalFormatting>
  <dataValidations count="1">
    <dataValidation type="list" allowBlank="1" sqref="C3:C201" xr:uid="{00000000-0002-0000-0200-000000000000}">
      <formula1>"Universal Life,Term Life,Whole Life,RRSP,TFSA,Segregated Fund,Other"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E15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15" customWidth="1"/>
    <col min="4" max="4" width="20" customWidth="1"/>
    <col min="5" max="5" width="35" customWidth="1"/>
  </cols>
  <sheetData>
    <row r="1" spans="1:5" x14ac:dyDescent="0.35">
      <c r="A1" s="2" t="s">
        <v>0</v>
      </c>
      <c r="B1" s="2" t="s">
        <v>26</v>
      </c>
      <c r="C1" s="2" t="s">
        <v>3</v>
      </c>
      <c r="D1" s="2" t="s">
        <v>13</v>
      </c>
      <c r="E1" s="2" t="s">
        <v>5</v>
      </c>
    </row>
    <row r="2" spans="1:5" x14ac:dyDescent="0.3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spans="1:5" x14ac:dyDescent="0.35">
      <c r="A3" s="4"/>
      <c r="B3" s="4"/>
      <c r="C3" s="4"/>
      <c r="D3" s="4"/>
      <c r="E3" s="4"/>
    </row>
    <row r="4" spans="1:5" x14ac:dyDescent="0.35">
      <c r="A4" s="4"/>
      <c r="B4" s="4"/>
      <c r="C4" s="4"/>
      <c r="D4" s="4"/>
      <c r="E4" s="4"/>
    </row>
    <row r="5" spans="1:5" x14ac:dyDescent="0.35">
      <c r="A5" s="4"/>
      <c r="B5" s="4"/>
      <c r="C5" s="4"/>
      <c r="D5" s="4"/>
      <c r="E5" s="4"/>
    </row>
    <row r="6" spans="1:5" x14ac:dyDescent="0.35">
      <c r="A6" s="4"/>
      <c r="B6" s="4"/>
      <c r="C6" s="4"/>
      <c r="D6" s="4"/>
      <c r="E6" s="4"/>
    </row>
    <row r="7" spans="1:5" x14ac:dyDescent="0.35">
      <c r="A7" s="4"/>
      <c r="B7" s="4"/>
      <c r="C7" s="4"/>
      <c r="D7" s="4"/>
      <c r="E7" s="4"/>
    </row>
    <row r="8" spans="1:5" x14ac:dyDescent="0.35">
      <c r="A8" s="4"/>
      <c r="B8" s="4"/>
      <c r="C8" s="4"/>
      <c r="D8" s="4"/>
      <c r="E8" s="4"/>
    </row>
    <row r="9" spans="1:5" x14ac:dyDescent="0.35">
      <c r="A9" s="4"/>
      <c r="B9" s="4"/>
      <c r="C9" s="4"/>
      <c r="D9" s="4"/>
      <c r="E9" s="4"/>
    </row>
    <row r="10" spans="1:5" x14ac:dyDescent="0.35">
      <c r="A10" s="4"/>
      <c r="B10" s="4"/>
      <c r="C10" s="4"/>
      <c r="D10" s="4"/>
      <c r="E10" s="4"/>
    </row>
    <row r="11" spans="1:5" x14ac:dyDescent="0.35">
      <c r="A11" s="4"/>
      <c r="B11" s="4"/>
      <c r="C11" s="4"/>
      <c r="D11" s="4"/>
      <c r="E11" s="4"/>
    </row>
    <row r="12" spans="1:5" x14ac:dyDescent="0.35">
      <c r="A12" s="4"/>
      <c r="B12" s="4"/>
      <c r="C12" s="4"/>
      <c r="D12" s="4"/>
      <c r="E12" s="4"/>
    </row>
    <row r="13" spans="1:5" x14ac:dyDescent="0.35">
      <c r="A13" s="4"/>
      <c r="B13" s="4"/>
      <c r="C13" s="4"/>
      <c r="D13" s="4"/>
      <c r="E13" s="4"/>
    </row>
    <row r="14" spans="1:5" x14ac:dyDescent="0.35">
      <c r="A14" s="4"/>
      <c r="B14" s="4"/>
      <c r="C14" s="4"/>
      <c r="D14" s="4"/>
      <c r="E14" s="4"/>
    </row>
    <row r="15" spans="1:5" x14ac:dyDescent="0.35">
      <c r="A15" s="4"/>
      <c r="B15" s="4"/>
      <c r="C15" s="4"/>
      <c r="D15" s="4"/>
      <c r="E15" s="4"/>
    </row>
    <row r="16" spans="1:5" x14ac:dyDescent="0.35">
      <c r="A16" s="4"/>
      <c r="B16" s="4"/>
      <c r="C16" s="4"/>
      <c r="D16" s="4"/>
      <c r="E16" s="4"/>
    </row>
    <row r="17" spans="1:5" x14ac:dyDescent="0.35">
      <c r="A17" s="4"/>
      <c r="B17" s="4"/>
      <c r="C17" s="4"/>
      <c r="D17" s="4"/>
      <c r="E17" s="4"/>
    </row>
    <row r="18" spans="1:5" x14ac:dyDescent="0.35">
      <c r="A18" s="4"/>
      <c r="B18" s="4"/>
      <c r="C18" s="4"/>
      <c r="D18" s="4"/>
      <c r="E18" s="4"/>
    </row>
    <row r="19" spans="1:5" x14ac:dyDescent="0.35">
      <c r="A19" s="4"/>
      <c r="B19" s="4"/>
      <c r="C19" s="4"/>
      <c r="D19" s="4"/>
      <c r="E19" s="4"/>
    </row>
    <row r="20" spans="1:5" x14ac:dyDescent="0.35">
      <c r="A20" s="4"/>
      <c r="B20" s="4"/>
      <c r="C20" s="4"/>
      <c r="D20" s="4"/>
      <c r="E20" s="4"/>
    </row>
    <row r="21" spans="1:5" x14ac:dyDescent="0.35">
      <c r="A21" s="4"/>
      <c r="B21" s="4"/>
      <c r="C21" s="4"/>
      <c r="D21" s="4"/>
      <c r="E21" s="4"/>
    </row>
    <row r="22" spans="1:5" x14ac:dyDescent="0.35">
      <c r="A22" s="4"/>
      <c r="B22" s="4"/>
      <c r="C22" s="4"/>
      <c r="D22" s="4"/>
      <c r="E22" s="4"/>
    </row>
    <row r="23" spans="1:5" x14ac:dyDescent="0.35">
      <c r="A23" s="4"/>
      <c r="B23" s="4"/>
      <c r="C23" s="4"/>
      <c r="D23" s="4"/>
      <c r="E23" s="4"/>
    </row>
    <row r="24" spans="1:5" x14ac:dyDescent="0.35">
      <c r="A24" s="4"/>
      <c r="B24" s="4"/>
      <c r="C24" s="4"/>
      <c r="D24" s="4"/>
      <c r="E24" s="4"/>
    </row>
    <row r="25" spans="1:5" x14ac:dyDescent="0.35">
      <c r="A25" s="4"/>
      <c r="B25" s="4"/>
      <c r="C25" s="4"/>
      <c r="D25" s="4"/>
      <c r="E25" s="4"/>
    </row>
    <row r="26" spans="1:5" x14ac:dyDescent="0.35">
      <c r="A26" s="4"/>
      <c r="B26" s="4"/>
      <c r="C26" s="4"/>
      <c r="D26" s="4"/>
      <c r="E26" s="4"/>
    </row>
    <row r="27" spans="1:5" x14ac:dyDescent="0.35">
      <c r="A27" s="4"/>
      <c r="B27" s="4"/>
      <c r="C27" s="4"/>
      <c r="D27" s="4"/>
      <c r="E27" s="4"/>
    </row>
    <row r="28" spans="1:5" x14ac:dyDescent="0.35">
      <c r="A28" s="4"/>
      <c r="B28" s="4"/>
      <c r="C28" s="4"/>
      <c r="D28" s="4"/>
      <c r="E28" s="4"/>
    </row>
    <row r="29" spans="1:5" x14ac:dyDescent="0.35">
      <c r="A29" s="4"/>
      <c r="B29" s="4"/>
      <c r="C29" s="4"/>
      <c r="D29" s="4"/>
      <c r="E29" s="4"/>
    </row>
    <row r="30" spans="1:5" x14ac:dyDescent="0.35">
      <c r="A30" s="4"/>
      <c r="B30" s="4"/>
      <c r="C30" s="4"/>
      <c r="D30" s="4"/>
      <c r="E30" s="4"/>
    </row>
    <row r="31" spans="1:5" x14ac:dyDescent="0.35">
      <c r="A31" s="4"/>
      <c r="B31" s="4"/>
      <c r="C31" s="4"/>
      <c r="D31" s="4"/>
      <c r="E31" s="4"/>
    </row>
    <row r="32" spans="1:5" x14ac:dyDescent="0.35">
      <c r="A32" s="4"/>
      <c r="B32" s="4"/>
      <c r="C32" s="4"/>
      <c r="D32" s="4"/>
      <c r="E32" s="4"/>
    </row>
    <row r="33" spans="1:5" x14ac:dyDescent="0.35">
      <c r="A33" s="4"/>
      <c r="B33" s="4"/>
      <c r="C33" s="4"/>
      <c r="D33" s="4"/>
      <c r="E33" s="4"/>
    </row>
    <row r="34" spans="1:5" x14ac:dyDescent="0.35">
      <c r="A34" s="4"/>
      <c r="B34" s="4"/>
      <c r="C34" s="4"/>
      <c r="D34" s="4"/>
      <c r="E34" s="4"/>
    </row>
    <row r="35" spans="1:5" x14ac:dyDescent="0.35">
      <c r="A35" s="4"/>
      <c r="B35" s="4"/>
      <c r="C35" s="4"/>
      <c r="D35" s="4"/>
      <c r="E35" s="4"/>
    </row>
    <row r="36" spans="1:5" x14ac:dyDescent="0.35">
      <c r="A36" s="4"/>
      <c r="B36" s="4"/>
      <c r="C36" s="4"/>
      <c r="D36" s="4"/>
      <c r="E36" s="4"/>
    </row>
    <row r="37" spans="1:5" x14ac:dyDescent="0.35">
      <c r="A37" s="4"/>
      <c r="B37" s="4"/>
      <c r="C37" s="4"/>
      <c r="D37" s="4"/>
      <c r="E37" s="4"/>
    </row>
    <row r="38" spans="1:5" x14ac:dyDescent="0.35">
      <c r="A38" s="4"/>
      <c r="B38" s="4"/>
      <c r="C38" s="4"/>
      <c r="D38" s="4"/>
      <c r="E38" s="4"/>
    </row>
    <row r="39" spans="1:5" x14ac:dyDescent="0.35">
      <c r="A39" s="4"/>
      <c r="B39" s="4"/>
      <c r="C39" s="4"/>
      <c r="D39" s="4"/>
      <c r="E39" s="4"/>
    </row>
    <row r="40" spans="1:5" x14ac:dyDescent="0.35">
      <c r="A40" s="4"/>
      <c r="B40" s="4"/>
      <c r="C40" s="4"/>
      <c r="D40" s="4"/>
      <c r="E40" s="4"/>
    </row>
    <row r="41" spans="1:5" x14ac:dyDescent="0.35">
      <c r="A41" s="4"/>
      <c r="B41" s="4"/>
      <c r="C41" s="4"/>
      <c r="D41" s="4"/>
      <c r="E41" s="4"/>
    </row>
    <row r="42" spans="1:5" x14ac:dyDescent="0.35">
      <c r="A42" s="4"/>
      <c r="B42" s="4"/>
      <c r="C42" s="4"/>
      <c r="D42" s="4"/>
      <c r="E42" s="4"/>
    </row>
    <row r="43" spans="1:5" x14ac:dyDescent="0.35">
      <c r="A43" s="4"/>
      <c r="B43" s="4"/>
      <c r="C43" s="4"/>
      <c r="D43" s="4"/>
      <c r="E43" s="4"/>
    </row>
    <row r="44" spans="1:5" x14ac:dyDescent="0.35">
      <c r="A44" s="4"/>
      <c r="B44" s="4"/>
      <c r="C44" s="4"/>
      <c r="D44" s="4"/>
      <c r="E44" s="4"/>
    </row>
    <row r="45" spans="1:5" x14ac:dyDescent="0.35">
      <c r="A45" s="4"/>
      <c r="B45" s="4"/>
      <c r="C45" s="4"/>
      <c r="D45" s="4"/>
      <c r="E45" s="4"/>
    </row>
    <row r="46" spans="1:5" x14ac:dyDescent="0.35">
      <c r="A46" s="4"/>
      <c r="B46" s="4"/>
      <c r="C46" s="4"/>
      <c r="D46" s="4"/>
      <c r="E46" s="4"/>
    </row>
    <row r="47" spans="1:5" x14ac:dyDescent="0.35">
      <c r="A47" s="4"/>
      <c r="B47" s="4"/>
      <c r="C47" s="4"/>
      <c r="D47" s="4"/>
      <c r="E47" s="4"/>
    </row>
    <row r="48" spans="1:5" x14ac:dyDescent="0.35">
      <c r="A48" s="4"/>
      <c r="B48" s="4"/>
      <c r="C48" s="4"/>
      <c r="D48" s="4"/>
      <c r="E48" s="4"/>
    </row>
    <row r="49" spans="1:5" x14ac:dyDescent="0.35">
      <c r="A49" s="4"/>
      <c r="B49" s="4"/>
      <c r="C49" s="4"/>
      <c r="D49" s="4"/>
      <c r="E49" s="4"/>
    </row>
    <row r="50" spans="1:5" x14ac:dyDescent="0.35">
      <c r="A50" s="4"/>
      <c r="B50" s="4"/>
      <c r="C50" s="4"/>
      <c r="D50" s="4"/>
      <c r="E50" s="4"/>
    </row>
    <row r="51" spans="1:5" x14ac:dyDescent="0.35">
      <c r="A51" s="4"/>
      <c r="B51" s="4"/>
      <c r="C51" s="4"/>
      <c r="D51" s="4"/>
      <c r="E51" s="4"/>
    </row>
    <row r="52" spans="1:5" x14ac:dyDescent="0.35">
      <c r="A52" s="4"/>
      <c r="B52" s="4"/>
      <c r="C52" s="4"/>
      <c r="D52" s="4"/>
      <c r="E52" s="4"/>
    </row>
    <row r="53" spans="1:5" x14ac:dyDescent="0.35">
      <c r="A53" s="4"/>
      <c r="B53" s="4"/>
      <c r="C53" s="4"/>
      <c r="D53" s="4"/>
      <c r="E53" s="4"/>
    </row>
    <row r="54" spans="1:5" x14ac:dyDescent="0.35">
      <c r="A54" s="4"/>
      <c r="B54" s="4"/>
      <c r="C54" s="4"/>
      <c r="D54" s="4"/>
      <c r="E54" s="4"/>
    </row>
    <row r="55" spans="1:5" x14ac:dyDescent="0.35">
      <c r="A55" s="4"/>
      <c r="B55" s="4"/>
      <c r="C55" s="4"/>
      <c r="D55" s="4"/>
      <c r="E55" s="4"/>
    </row>
    <row r="56" spans="1:5" x14ac:dyDescent="0.35">
      <c r="A56" s="4"/>
      <c r="B56" s="4"/>
      <c r="C56" s="4"/>
      <c r="D56" s="4"/>
      <c r="E56" s="4"/>
    </row>
    <row r="57" spans="1:5" x14ac:dyDescent="0.35">
      <c r="A57" s="4"/>
      <c r="B57" s="4"/>
      <c r="C57" s="4"/>
      <c r="D57" s="4"/>
      <c r="E57" s="4"/>
    </row>
    <row r="58" spans="1:5" x14ac:dyDescent="0.35">
      <c r="A58" s="4"/>
      <c r="B58" s="4"/>
      <c r="C58" s="4"/>
      <c r="D58" s="4"/>
      <c r="E58" s="4"/>
    </row>
    <row r="59" spans="1:5" x14ac:dyDescent="0.35">
      <c r="A59" s="4"/>
      <c r="B59" s="4"/>
      <c r="C59" s="4"/>
      <c r="D59" s="4"/>
      <c r="E59" s="4"/>
    </row>
    <row r="60" spans="1:5" x14ac:dyDescent="0.35">
      <c r="A60" s="4"/>
      <c r="B60" s="4"/>
      <c r="C60" s="4"/>
      <c r="D60" s="4"/>
      <c r="E60" s="4"/>
    </row>
    <row r="61" spans="1:5" x14ac:dyDescent="0.35">
      <c r="A61" s="4"/>
      <c r="B61" s="4"/>
      <c r="C61" s="4"/>
      <c r="D61" s="4"/>
      <c r="E61" s="4"/>
    </row>
    <row r="62" spans="1:5" x14ac:dyDescent="0.35">
      <c r="A62" s="4"/>
      <c r="B62" s="4"/>
      <c r="C62" s="4"/>
      <c r="D62" s="4"/>
      <c r="E62" s="4"/>
    </row>
    <row r="63" spans="1:5" x14ac:dyDescent="0.35">
      <c r="A63" s="4"/>
      <c r="B63" s="4"/>
      <c r="C63" s="4"/>
      <c r="D63" s="4"/>
      <c r="E63" s="4"/>
    </row>
    <row r="64" spans="1:5" x14ac:dyDescent="0.35">
      <c r="A64" s="4"/>
      <c r="B64" s="4"/>
      <c r="C64" s="4"/>
      <c r="D64" s="4"/>
      <c r="E64" s="4"/>
    </row>
    <row r="65" spans="1:5" x14ac:dyDescent="0.35">
      <c r="A65" s="4"/>
      <c r="B65" s="4"/>
      <c r="C65" s="4"/>
      <c r="D65" s="4"/>
      <c r="E65" s="4"/>
    </row>
    <row r="66" spans="1:5" x14ac:dyDescent="0.35">
      <c r="A66" s="4"/>
      <c r="B66" s="4"/>
      <c r="C66" s="4"/>
      <c r="D66" s="4"/>
      <c r="E66" s="4"/>
    </row>
    <row r="67" spans="1:5" x14ac:dyDescent="0.35">
      <c r="A67" s="4"/>
      <c r="B67" s="4"/>
      <c r="C67" s="4"/>
      <c r="D67" s="4"/>
      <c r="E67" s="4"/>
    </row>
    <row r="68" spans="1:5" x14ac:dyDescent="0.35">
      <c r="A68" s="4"/>
      <c r="B68" s="4"/>
      <c r="C68" s="4"/>
      <c r="D68" s="4"/>
      <c r="E68" s="4"/>
    </row>
    <row r="69" spans="1:5" x14ac:dyDescent="0.35">
      <c r="A69" s="4"/>
      <c r="B69" s="4"/>
      <c r="C69" s="4"/>
      <c r="D69" s="4"/>
      <c r="E69" s="4"/>
    </row>
    <row r="70" spans="1:5" x14ac:dyDescent="0.35">
      <c r="A70" s="4"/>
      <c r="B70" s="4"/>
      <c r="C70" s="4"/>
      <c r="D70" s="4"/>
      <c r="E70" s="4"/>
    </row>
    <row r="71" spans="1:5" x14ac:dyDescent="0.35">
      <c r="A71" s="4"/>
      <c r="B71" s="4"/>
      <c r="C71" s="4"/>
      <c r="D71" s="4"/>
      <c r="E71" s="4"/>
    </row>
    <row r="72" spans="1:5" x14ac:dyDescent="0.35">
      <c r="A72" s="4"/>
      <c r="B72" s="4"/>
      <c r="C72" s="4"/>
      <c r="D72" s="4"/>
      <c r="E72" s="4"/>
    </row>
    <row r="73" spans="1:5" x14ac:dyDescent="0.35">
      <c r="A73" s="4"/>
      <c r="B73" s="4"/>
      <c r="C73" s="4"/>
      <c r="D73" s="4"/>
      <c r="E73" s="4"/>
    </row>
    <row r="74" spans="1:5" x14ac:dyDescent="0.35">
      <c r="A74" s="4"/>
      <c r="B74" s="4"/>
      <c r="C74" s="4"/>
      <c r="D74" s="4"/>
      <c r="E74" s="4"/>
    </row>
    <row r="75" spans="1:5" x14ac:dyDescent="0.35">
      <c r="A75" s="4"/>
      <c r="B75" s="4"/>
      <c r="C75" s="4"/>
      <c r="D75" s="4"/>
      <c r="E75" s="4"/>
    </row>
    <row r="76" spans="1:5" x14ac:dyDescent="0.35">
      <c r="A76" s="4"/>
      <c r="B76" s="4"/>
      <c r="C76" s="4"/>
      <c r="D76" s="4"/>
      <c r="E76" s="4"/>
    </row>
    <row r="77" spans="1:5" x14ac:dyDescent="0.35">
      <c r="A77" s="4"/>
      <c r="B77" s="4"/>
      <c r="C77" s="4"/>
      <c r="D77" s="4"/>
      <c r="E77" s="4"/>
    </row>
    <row r="78" spans="1:5" x14ac:dyDescent="0.35">
      <c r="A78" s="4"/>
      <c r="B78" s="4"/>
      <c r="C78" s="4"/>
      <c r="D78" s="4"/>
      <c r="E78" s="4"/>
    </row>
    <row r="79" spans="1:5" x14ac:dyDescent="0.35">
      <c r="A79" s="4"/>
      <c r="B79" s="4"/>
      <c r="C79" s="4"/>
      <c r="D79" s="4"/>
      <c r="E79" s="4"/>
    </row>
    <row r="80" spans="1:5" x14ac:dyDescent="0.35">
      <c r="A80" s="4"/>
      <c r="B80" s="4"/>
      <c r="C80" s="4"/>
      <c r="D80" s="4"/>
      <c r="E80" s="4"/>
    </row>
    <row r="81" spans="1:5" x14ac:dyDescent="0.35">
      <c r="A81" s="4"/>
      <c r="B81" s="4"/>
      <c r="C81" s="4"/>
      <c r="D81" s="4"/>
      <c r="E81" s="4"/>
    </row>
    <row r="82" spans="1:5" x14ac:dyDescent="0.35">
      <c r="A82" s="4"/>
      <c r="B82" s="4"/>
      <c r="C82" s="4"/>
      <c r="D82" s="4"/>
      <c r="E82" s="4"/>
    </row>
    <row r="83" spans="1:5" x14ac:dyDescent="0.35">
      <c r="A83" s="4"/>
      <c r="B83" s="4"/>
      <c r="C83" s="4"/>
      <c r="D83" s="4"/>
      <c r="E83" s="4"/>
    </row>
    <row r="84" spans="1:5" x14ac:dyDescent="0.35">
      <c r="A84" s="4"/>
      <c r="B84" s="4"/>
      <c r="C84" s="4"/>
      <c r="D84" s="4"/>
      <c r="E84" s="4"/>
    </row>
    <row r="85" spans="1:5" x14ac:dyDescent="0.35">
      <c r="A85" s="4"/>
      <c r="B85" s="4"/>
      <c r="C85" s="4"/>
      <c r="D85" s="4"/>
      <c r="E85" s="4"/>
    </row>
    <row r="86" spans="1:5" x14ac:dyDescent="0.35">
      <c r="A86" s="4"/>
      <c r="B86" s="4"/>
      <c r="C86" s="4"/>
      <c r="D86" s="4"/>
      <c r="E86" s="4"/>
    </row>
    <row r="87" spans="1:5" x14ac:dyDescent="0.35">
      <c r="A87" s="4"/>
      <c r="B87" s="4"/>
      <c r="C87" s="4"/>
      <c r="D87" s="4"/>
      <c r="E87" s="4"/>
    </row>
    <row r="88" spans="1:5" x14ac:dyDescent="0.35">
      <c r="A88" s="4"/>
      <c r="B88" s="4"/>
      <c r="C88" s="4"/>
      <c r="D88" s="4"/>
      <c r="E88" s="4"/>
    </row>
    <row r="89" spans="1:5" x14ac:dyDescent="0.35">
      <c r="A89" s="4"/>
      <c r="B89" s="4"/>
      <c r="C89" s="4"/>
      <c r="D89" s="4"/>
      <c r="E89" s="4"/>
    </row>
    <row r="90" spans="1:5" x14ac:dyDescent="0.35">
      <c r="A90" s="4"/>
      <c r="B90" s="4"/>
      <c r="C90" s="4"/>
      <c r="D90" s="4"/>
      <c r="E90" s="4"/>
    </row>
    <row r="91" spans="1:5" x14ac:dyDescent="0.35">
      <c r="A91" s="4"/>
      <c r="B91" s="4"/>
      <c r="C91" s="4"/>
      <c r="D91" s="4"/>
      <c r="E91" s="4"/>
    </row>
    <row r="92" spans="1:5" x14ac:dyDescent="0.35">
      <c r="A92" s="4"/>
      <c r="B92" s="4"/>
      <c r="C92" s="4"/>
      <c r="D92" s="4"/>
      <c r="E92" s="4"/>
    </row>
    <row r="93" spans="1:5" x14ac:dyDescent="0.35">
      <c r="A93" s="4"/>
      <c r="B93" s="4"/>
      <c r="C93" s="4"/>
      <c r="D93" s="4"/>
      <c r="E93" s="4"/>
    </row>
    <row r="94" spans="1:5" x14ac:dyDescent="0.35">
      <c r="A94" s="4"/>
      <c r="B94" s="4"/>
      <c r="C94" s="4"/>
      <c r="D94" s="4"/>
      <c r="E94" s="4"/>
    </row>
    <row r="95" spans="1:5" x14ac:dyDescent="0.35">
      <c r="A95" s="4"/>
      <c r="B95" s="4"/>
      <c r="C95" s="4"/>
      <c r="D95" s="4"/>
      <c r="E95" s="4"/>
    </row>
    <row r="96" spans="1:5" x14ac:dyDescent="0.35">
      <c r="A96" s="4"/>
      <c r="B96" s="4"/>
      <c r="C96" s="4"/>
      <c r="D96" s="4"/>
      <c r="E96" s="4"/>
    </row>
    <row r="97" spans="1:5" x14ac:dyDescent="0.35">
      <c r="A97" s="4"/>
      <c r="B97" s="4"/>
      <c r="C97" s="4"/>
      <c r="D97" s="4"/>
      <c r="E97" s="4"/>
    </row>
    <row r="98" spans="1:5" x14ac:dyDescent="0.35">
      <c r="A98" s="4"/>
      <c r="B98" s="4"/>
      <c r="C98" s="4"/>
      <c r="D98" s="4"/>
      <c r="E98" s="4"/>
    </row>
    <row r="99" spans="1:5" x14ac:dyDescent="0.35">
      <c r="A99" s="4"/>
      <c r="B99" s="4"/>
      <c r="C99" s="4"/>
      <c r="D99" s="4"/>
      <c r="E99" s="4"/>
    </row>
    <row r="100" spans="1:5" x14ac:dyDescent="0.35">
      <c r="A100" s="4"/>
      <c r="B100" s="4"/>
      <c r="C100" s="4"/>
      <c r="D100" s="4"/>
      <c r="E100" s="4"/>
    </row>
    <row r="101" spans="1:5" x14ac:dyDescent="0.35">
      <c r="A101" s="4"/>
      <c r="B101" s="4"/>
      <c r="C101" s="4"/>
      <c r="D101" s="4"/>
      <c r="E101" s="4"/>
    </row>
    <row r="102" spans="1:5" x14ac:dyDescent="0.35">
      <c r="A102" s="4"/>
      <c r="B102" s="4"/>
      <c r="C102" s="4"/>
      <c r="D102" s="4"/>
      <c r="E102" s="4"/>
    </row>
    <row r="103" spans="1:5" x14ac:dyDescent="0.35">
      <c r="A103" s="4"/>
      <c r="B103" s="4"/>
      <c r="C103" s="4"/>
      <c r="D103" s="4"/>
      <c r="E103" s="4"/>
    </row>
    <row r="104" spans="1:5" x14ac:dyDescent="0.35">
      <c r="A104" s="4"/>
      <c r="B104" s="4"/>
      <c r="C104" s="4"/>
      <c r="D104" s="4"/>
      <c r="E104" s="4"/>
    </row>
    <row r="105" spans="1:5" x14ac:dyDescent="0.35">
      <c r="A105" s="4"/>
      <c r="B105" s="4"/>
      <c r="C105" s="4"/>
      <c r="D105" s="4"/>
      <c r="E105" s="4"/>
    </row>
    <row r="106" spans="1:5" x14ac:dyDescent="0.35">
      <c r="A106" s="4"/>
      <c r="B106" s="4"/>
      <c r="C106" s="4"/>
      <c r="D106" s="4"/>
      <c r="E106" s="4"/>
    </row>
    <row r="107" spans="1:5" x14ac:dyDescent="0.35">
      <c r="A107" s="4"/>
      <c r="B107" s="4"/>
      <c r="C107" s="4"/>
      <c r="D107" s="4"/>
      <c r="E107" s="4"/>
    </row>
    <row r="108" spans="1:5" x14ac:dyDescent="0.35">
      <c r="A108" s="4"/>
      <c r="B108" s="4"/>
      <c r="C108" s="4"/>
      <c r="D108" s="4"/>
      <c r="E108" s="4"/>
    </row>
    <row r="109" spans="1:5" x14ac:dyDescent="0.35">
      <c r="A109" s="4"/>
      <c r="B109" s="4"/>
      <c r="C109" s="4"/>
      <c r="D109" s="4"/>
      <c r="E109" s="4"/>
    </row>
    <row r="110" spans="1:5" x14ac:dyDescent="0.35">
      <c r="A110" s="4"/>
      <c r="B110" s="4"/>
      <c r="C110" s="4"/>
      <c r="D110" s="4"/>
      <c r="E110" s="4"/>
    </row>
    <row r="111" spans="1:5" x14ac:dyDescent="0.35">
      <c r="A111" s="4"/>
      <c r="B111" s="4"/>
      <c r="C111" s="4"/>
      <c r="D111" s="4"/>
      <c r="E111" s="4"/>
    </row>
    <row r="112" spans="1:5" x14ac:dyDescent="0.35">
      <c r="A112" s="4"/>
      <c r="B112" s="4"/>
      <c r="C112" s="4"/>
      <c r="D112" s="4"/>
      <c r="E112" s="4"/>
    </row>
    <row r="113" spans="1:5" x14ac:dyDescent="0.35">
      <c r="A113" s="4"/>
      <c r="B113" s="4"/>
      <c r="C113" s="4"/>
      <c r="D113" s="4"/>
      <c r="E113" s="4"/>
    </row>
    <row r="114" spans="1:5" x14ac:dyDescent="0.35">
      <c r="A114" s="4"/>
      <c r="B114" s="4"/>
      <c r="C114" s="4"/>
      <c r="D114" s="4"/>
      <c r="E114" s="4"/>
    </row>
    <row r="115" spans="1:5" x14ac:dyDescent="0.35">
      <c r="A115" s="4"/>
      <c r="B115" s="4"/>
      <c r="C115" s="4"/>
      <c r="D115" s="4"/>
      <c r="E115" s="4"/>
    </row>
    <row r="116" spans="1:5" x14ac:dyDescent="0.35">
      <c r="A116" s="4"/>
      <c r="B116" s="4"/>
      <c r="C116" s="4"/>
      <c r="D116" s="4"/>
      <c r="E116" s="4"/>
    </row>
    <row r="117" spans="1:5" x14ac:dyDescent="0.35">
      <c r="A117" s="4"/>
      <c r="B117" s="4"/>
      <c r="C117" s="4"/>
      <c r="D117" s="4"/>
      <c r="E117" s="4"/>
    </row>
    <row r="118" spans="1:5" x14ac:dyDescent="0.35">
      <c r="A118" s="4"/>
      <c r="B118" s="4"/>
      <c r="C118" s="4"/>
      <c r="D118" s="4"/>
      <c r="E118" s="4"/>
    </row>
    <row r="119" spans="1:5" x14ac:dyDescent="0.35">
      <c r="A119" s="4"/>
      <c r="B119" s="4"/>
      <c r="C119" s="4"/>
      <c r="D119" s="4"/>
      <c r="E119" s="4"/>
    </row>
    <row r="120" spans="1:5" x14ac:dyDescent="0.35">
      <c r="A120" s="4"/>
      <c r="B120" s="4"/>
      <c r="C120" s="4"/>
      <c r="D120" s="4"/>
      <c r="E120" s="4"/>
    </row>
    <row r="121" spans="1:5" x14ac:dyDescent="0.35">
      <c r="A121" s="4"/>
      <c r="B121" s="4"/>
      <c r="C121" s="4"/>
      <c r="D121" s="4"/>
      <c r="E121" s="4"/>
    </row>
    <row r="122" spans="1:5" x14ac:dyDescent="0.35">
      <c r="A122" s="4"/>
      <c r="B122" s="4"/>
      <c r="C122" s="4"/>
      <c r="D122" s="4"/>
      <c r="E122" s="4"/>
    </row>
    <row r="123" spans="1:5" x14ac:dyDescent="0.35">
      <c r="A123" s="4"/>
      <c r="B123" s="4"/>
      <c r="C123" s="4"/>
      <c r="D123" s="4"/>
      <c r="E123" s="4"/>
    </row>
    <row r="124" spans="1:5" x14ac:dyDescent="0.35">
      <c r="A124" s="4"/>
      <c r="B124" s="4"/>
      <c r="C124" s="4"/>
      <c r="D124" s="4"/>
      <c r="E124" s="4"/>
    </row>
    <row r="125" spans="1:5" x14ac:dyDescent="0.35">
      <c r="A125" s="4"/>
      <c r="B125" s="4"/>
      <c r="C125" s="4"/>
      <c r="D125" s="4"/>
      <c r="E125" s="4"/>
    </row>
    <row r="126" spans="1:5" x14ac:dyDescent="0.35">
      <c r="A126" s="4"/>
      <c r="B126" s="4"/>
      <c r="C126" s="4"/>
      <c r="D126" s="4"/>
      <c r="E126" s="4"/>
    </row>
    <row r="127" spans="1:5" x14ac:dyDescent="0.35">
      <c r="A127" s="4"/>
      <c r="B127" s="4"/>
      <c r="C127" s="4"/>
      <c r="D127" s="4"/>
      <c r="E127" s="4"/>
    </row>
    <row r="128" spans="1:5" x14ac:dyDescent="0.35">
      <c r="A128" s="4"/>
      <c r="B128" s="4"/>
      <c r="C128" s="4"/>
      <c r="D128" s="4"/>
      <c r="E128" s="4"/>
    </row>
    <row r="129" spans="1:5" x14ac:dyDescent="0.35">
      <c r="A129" s="4"/>
      <c r="B129" s="4"/>
      <c r="C129" s="4"/>
      <c r="D129" s="4"/>
      <c r="E129" s="4"/>
    </row>
    <row r="130" spans="1:5" x14ac:dyDescent="0.35">
      <c r="A130" s="4"/>
      <c r="B130" s="4"/>
      <c r="C130" s="4"/>
      <c r="D130" s="4"/>
      <c r="E130" s="4"/>
    </row>
    <row r="131" spans="1:5" x14ac:dyDescent="0.35">
      <c r="A131" s="4"/>
      <c r="B131" s="4"/>
      <c r="C131" s="4"/>
      <c r="D131" s="4"/>
      <c r="E131" s="4"/>
    </row>
    <row r="132" spans="1:5" x14ac:dyDescent="0.35">
      <c r="A132" s="4"/>
      <c r="B132" s="4"/>
      <c r="C132" s="4"/>
      <c r="D132" s="4"/>
      <c r="E132" s="4"/>
    </row>
    <row r="133" spans="1:5" x14ac:dyDescent="0.35">
      <c r="A133" s="4"/>
      <c r="B133" s="4"/>
      <c r="C133" s="4"/>
      <c r="D133" s="4"/>
      <c r="E133" s="4"/>
    </row>
    <row r="134" spans="1:5" x14ac:dyDescent="0.35">
      <c r="A134" s="4"/>
      <c r="B134" s="4"/>
      <c r="C134" s="4"/>
      <c r="D134" s="4"/>
      <c r="E134" s="4"/>
    </row>
    <row r="135" spans="1:5" x14ac:dyDescent="0.35">
      <c r="A135" s="4"/>
      <c r="B135" s="4"/>
      <c r="C135" s="4"/>
      <c r="D135" s="4"/>
      <c r="E135" s="4"/>
    </row>
    <row r="136" spans="1:5" x14ac:dyDescent="0.35">
      <c r="A136" s="4"/>
      <c r="B136" s="4"/>
      <c r="C136" s="4"/>
      <c r="D136" s="4"/>
      <c r="E136" s="4"/>
    </row>
    <row r="137" spans="1:5" x14ac:dyDescent="0.35">
      <c r="A137" s="4"/>
      <c r="B137" s="4"/>
      <c r="C137" s="4"/>
      <c r="D137" s="4"/>
      <c r="E137" s="4"/>
    </row>
    <row r="138" spans="1:5" x14ac:dyDescent="0.35">
      <c r="A138" s="4"/>
      <c r="B138" s="4"/>
      <c r="C138" s="4"/>
      <c r="D138" s="4"/>
      <c r="E138" s="4"/>
    </row>
    <row r="139" spans="1:5" x14ac:dyDescent="0.35">
      <c r="A139" s="4"/>
      <c r="B139" s="4"/>
      <c r="C139" s="4"/>
      <c r="D139" s="4"/>
      <c r="E139" s="4"/>
    </row>
    <row r="140" spans="1:5" x14ac:dyDescent="0.35">
      <c r="A140" s="4"/>
      <c r="B140" s="4"/>
      <c r="C140" s="4"/>
      <c r="D140" s="4"/>
      <c r="E140" s="4"/>
    </row>
    <row r="141" spans="1:5" x14ac:dyDescent="0.35">
      <c r="A141" s="4"/>
      <c r="B141" s="4"/>
      <c r="C141" s="4"/>
      <c r="D141" s="4"/>
      <c r="E141" s="4"/>
    </row>
    <row r="142" spans="1:5" x14ac:dyDescent="0.35">
      <c r="A142" s="4"/>
      <c r="B142" s="4"/>
      <c r="C142" s="4"/>
      <c r="D142" s="4"/>
      <c r="E142" s="4"/>
    </row>
    <row r="143" spans="1:5" x14ac:dyDescent="0.35">
      <c r="A143" s="4"/>
      <c r="B143" s="4"/>
      <c r="C143" s="4"/>
      <c r="D143" s="4"/>
      <c r="E143" s="4"/>
    </row>
    <row r="144" spans="1:5" x14ac:dyDescent="0.35">
      <c r="A144" s="4"/>
      <c r="B144" s="4"/>
      <c r="C144" s="4"/>
      <c r="D144" s="4"/>
      <c r="E144" s="4"/>
    </row>
    <row r="145" spans="1:5" x14ac:dyDescent="0.35">
      <c r="A145" s="4"/>
      <c r="B145" s="4"/>
      <c r="C145" s="4"/>
      <c r="D145" s="4"/>
      <c r="E145" s="4"/>
    </row>
    <row r="146" spans="1:5" x14ac:dyDescent="0.35">
      <c r="A146" s="4"/>
      <c r="B146" s="4"/>
      <c r="C146" s="4"/>
      <c r="D146" s="4"/>
      <c r="E146" s="4"/>
    </row>
    <row r="147" spans="1:5" x14ac:dyDescent="0.35">
      <c r="A147" s="4"/>
      <c r="B147" s="4"/>
      <c r="C147" s="4"/>
      <c r="D147" s="4"/>
      <c r="E147" s="4"/>
    </row>
    <row r="148" spans="1:5" x14ac:dyDescent="0.35">
      <c r="A148" s="4"/>
      <c r="B148" s="4"/>
      <c r="C148" s="4"/>
      <c r="D148" s="4"/>
      <c r="E148" s="4"/>
    </row>
    <row r="149" spans="1:5" x14ac:dyDescent="0.35">
      <c r="A149" s="4"/>
      <c r="B149" s="4"/>
      <c r="C149" s="4"/>
      <c r="D149" s="4"/>
      <c r="E149" s="4"/>
    </row>
    <row r="150" spans="1:5" x14ac:dyDescent="0.35">
      <c r="A150" s="4"/>
      <c r="B150" s="4"/>
      <c r="C150" s="4"/>
      <c r="D150" s="4"/>
      <c r="E150" s="4"/>
    </row>
    <row r="151" spans="1:5" x14ac:dyDescent="0.35">
      <c r="A151" s="4"/>
      <c r="B151" s="4"/>
      <c r="C151" s="4"/>
      <c r="D151" s="4"/>
      <c r="E151" s="4"/>
    </row>
  </sheetData>
  <conditionalFormatting sqref="A3:E151">
    <cfRule type="expression" dxfId="6" priority="2">
      <formula>MOD(ROW(),2)=0</formula>
    </cfRule>
  </conditionalFormatting>
  <dataValidations count="2">
    <dataValidation type="list" allowBlank="1" sqref="C3:C151" xr:uid="{00000000-0002-0000-0300-000000000000}">
      <formula1>"Warm Market,Referral,Cold,Social Media,Other"</formula1>
      <formula2>0</formula2>
    </dataValidation>
    <dataValidation type="list" allowBlank="1" sqref="D3:D151" xr:uid="{00000000-0002-0000-0300-000001000000}">
      <formula1>"Contacted,Interview Scheduled,Licensed,Declined"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I65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8.6328125" defaultRowHeight="14.5" x14ac:dyDescent="0.35"/>
  <cols>
    <col min="1" max="1" width="18" customWidth="1"/>
    <col min="2" max="2" width="11" customWidth="1"/>
    <col min="3" max="3" width="10" customWidth="1"/>
    <col min="4" max="4" width="11" customWidth="1"/>
    <col min="5" max="5" width="12" customWidth="1"/>
    <col min="6" max="6" width="14" customWidth="1"/>
    <col min="7" max="7" width="9" customWidth="1"/>
    <col min="8" max="8" width="8" customWidth="1"/>
    <col min="9" max="9" width="28" customWidth="1"/>
  </cols>
  <sheetData>
    <row r="1" spans="1:9" x14ac:dyDescent="0.35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35">
      <c r="A2" s="7" t="s">
        <v>6</v>
      </c>
      <c r="B2" s="4">
        <f>COUNTIF('Call Log'!$A$3:$A$301,A2)</f>
        <v>0</v>
      </c>
      <c r="C2" s="4">
        <f>COUNTIFS('Call Log'!$A$3:$A$301,A2,'Call Log'!$E$3:$E$301,"Appointment Set")+COUNTIFS('Appointment Log'!$A$3:$A$301,A2,'Appointment Log'!$C$3:$C$301,"Initial Meeting")</f>
        <v>0</v>
      </c>
      <c r="D2" s="4">
        <f>COUNTIFS('Appointment Log'!$A$3:$A$301,A2,'Appointment Log'!$D$3:$D$301,"Held")</f>
        <v>0</v>
      </c>
      <c r="E2" s="6">
        <f>SUMIF('Sales Log'!$A$3:$A$201,A2,'Sales Log'!$D$3:$D$201)</f>
        <v>0</v>
      </c>
      <c r="F2" s="4">
        <f>COUNTIF('Recruiting Log'!$A$3:$A$151,A2)</f>
        <v>0</v>
      </c>
      <c r="G2" s="4">
        <f>IF(B2&gt;=Dashboard!$B$5,1,0)</f>
        <v>0</v>
      </c>
      <c r="H2" s="4" t="str">
        <f ca="1">IF(A2&gt;TODAY(),"",IF(G2=1,1,0))</f>
        <v/>
      </c>
      <c r="I2" s="4"/>
    </row>
    <row r="3" spans="1:9" x14ac:dyDescent="0.35">
      <c r="A3" s="7">
        <f t="shared" ref="A3:A34" si="0">A2+1</f>
        <v>46210</v>
      </c>
      <c r="B3" s="4">
        <f>COUNTIF('Call Log'!$A$3:$A$301,A3)</f>
        <v>0</v>
      </c>
      <c r="C3" s="4">
        <f>COUNTIFS('Call Log'!$A$3:$A$301,A3,'Call Log'!$E$3:$E$301,"Appointment Set")+COUNTIFS('Appointment Log'!$A$3:$A$301,A3,'Appointment Log'!$C$3:$C$301,"Initial Meeting")</f>
        <v>0</v>
      </c>
      <c r="D3" s="4">
        <f>COUNTIFS('Appointment Log'!$A$3:$A$301,A3,'Appointment Log'!$D$3:$D$301,"Held")</f>
        <v>0</v>
      </c>
      <c r="E3" s="6">
        <f>SUMIF('Sales Log'!$A$3:$A$201,A3,'Sales Log'!$D$3:$D$201)</f>
        <v>0</v>
      </c>
      <c r="F3" s="4">
        <f>COUNTIF('Recruiting Log'!$A$3:$A$151,A3)</f>
        <v>0</v>
      </c>
      <c r="G3" s="4">
        <f>IF(B3&gt;=Dashboard!$B$5,1,0)</f>
        <v>0</v>
      </c>
      <c r="H3" s="4">
        <f t="shared" ref="H3:H34" ca="1" si="1">IF(A3&gt;TODAY(),"",IF(G3=1,IF(ISNUMBER(H2),H2+1,1),0))</f>
        <v>0</v>
      </c>
      <c r="I3" s="4"/>
    </row>
    <row r="4" spans="1:9" x14ac:dyDescent="0.35">
      <c r="A4" s="7">
        <f t="shared" si="0"/>
        <v>46211</v>
      </c>
      <c r="B4" s="4">
        <f>COUNTIF('Call Log'!$A$3:$A$301,A4)</f>
        <v>0</v>
      </c>
      <c r="C4" s="4">
        <f>COUNTIFS('Call Log'!$A$3:$A$301,A4,'Call Log'!$E$3:$E$301,"Appointment Set")+COUNTIFS('Appointment Log'!$A$3:$A$301,A4,'Appointment Log'!$C$3:$C$301,"Initial Meeting")</f>
        <v>0</v>
      </c>
      <c r="D4" s="4">
        <f>COUNTIFS('Appointment Log'!$A$3:$A$301,A4,'Appointment Log'!$D$3:$D$301,"Held")</f>
        <v>0</v>
      </c>
      <c r="E4" s="6">
        <f>SUMIF('Sales Log'!$A$3:$A$201,A4,'Sales Log'!$D$3:$D$201)</f>
        <v>0</v>
      </c>
      <c r="F4" s="4">
        <f>COUNTIF('Recruiting Log'!$A$3:$A$151,A4)</f>
        <v>0</v>
      </c>
      <c r="G4" s="4">
        <f>IF(B4&gt;=Dashboard!$B$5,1,0)</f>
        <v>0</v>
      </c>
      <c r="H4" s="4">
        <f t="shared" ca="1" si="1"/>
        <v>0</v>
      </c>
      <c r="I4" s="4"/>
    </row>
    <row r="5" spans="1:9" x14ac:dyDescent="0.35">
      <c r="A5" s="7">
        <f t="shared" si="0"/>
        <v>46212</v>
      </c>
      <c r="B5" s="4">
        <f>COUNTIF('Call Log'!$A$3:$A$301,A5)</f>
        <v>0</v>
      </c>
      <c r="C5" s="4">
        <f>COUNTIFS('Call Log'!$A$3:$A$301,A5,'Call Log'!$E$3:$E$301,"Appointment Set")+COUNTIFS('Appointment Log'!$A$3:$A$301,A5,'Appointment Log'!$C$3:$C$301,"Initial Meeting")</f>
        <v>0</v>
      </c>
      <c r="D5" s="4">
        <f>COUNTIFS('Appointment Log'!$A$3:$A$301,A5,'Appointment Log'!$D$3:$D$301,"Held")</f>
        <v>0</v>
      </c>
      <c r="E5" s="6">
        <f>SUMIF('Sales Log'!$A$3:$A$201,A5,'Sales Log'!$D$3:$D$201)</f>
        <v>0</v>
      </c>
      <c r="F5" s="4">
        <f>COUNTIF('Recruiting Log'!$A$3:$A$151,A5)</f>
        <v>0</v>
      </c>
      <c r="G5" s="4">
        <f>IF(B5&gt;=Dashboard!$B$5,1,0)</f>
        <v>0</v>
      </c>
      <c r="H5" s="4">
        <f t="shared" ca="1" si="1"/>
        <v>0</v>
      </c>
      <c r="I5" s="4"/>
    </row>
    <row r="6" spans="1:9" x14ac:dyDescent="0.35">
      <c r="A6" s="7">
        <f t="shared" si="0"/>
        <v>46213</v>
      </c>
      <c r="B6" s="4">
        <f>COUNTIF('Call Log'!$A$3:$A$301,A6)</f>
        <v>0</v>
      </c>
      <c r="C6" s="4">
        <f>COUNTIFS('Call Log'!$A$3:$A$301,A6,'Call Log'!$E$3:$E$301,"Appointment Set")+COUNTIFS('Appointment Log'!$A$3:$A$301,A6,'Appointment Log'!$C$3:$C$301,"Initial Meeting")</f>
        <v>0</v>
      </c>
      <c r="D6" s="4">
        <f>COUNTIFS('Appointment Log'!$A$3:$A$301,A6,'Appointment Log'!$D$3:$D$301,"Held")</f>
        <v>0</v>
      </c>
      <c r="E6" s="6">
        <f>SUMIF('Sales Log'!$A$3:$A$201,A6,'Sales Log'!$D$3:$D$201)</f>
        <v>0</v>
      </c>
      <c r="F6" s="4">
        <f>COUNTIF('Recruiting Log'!$A$3:$A$151,A6)</f>
        <v>0</v>
      </c>
      <c r="G6" s="4">
        <f>IF(B6&gt;=Dashboard!$B$5,1,0)</f>
        <v>0</v>
      </c>
      <c r="H6" s="4">
        <f t="shared" ca="1" si="1"/>
        <v>0</v>
      </c>
      <c r="I6" s="4"/>
    </row>
    <row r="7" spans="1:9" x14ac:dyDescent="0.35">
      <c r="A7" s="7">
        <f t="shared" si="0"/>
        <v>46214</v>
      </c>
      <c r="B7" s="4">
        <f>COUNTIF('Call Log'!$A$3:$A$301,A7)</f>
        <v>0</v>
      </c>
      <c r="C7" s="4">
        <f>COUNTIFS('Call Log'!$A$3:$A$301,A7,'Call Log'!$E$3:$E$301,"Appointment Set")+COUNTIFS('Appointment Log'!$A$3:$A$301,A7,'Appointment Log'!$C$3:$C$301,"Initial Meeting")</f>
        <v>0</v>
      </c>
      <c r="D7" s="4">
        <f>COUNTIFS('Appointment Log'!$A$3:$A$301,A7,'Appointment Log'!$D$3:$D$301,"Held")</f>
        <v>0</v>
      </c>
      <c r="E7" s="6">
        <f>SUMIF('Sales Log'!$A$3:$A$201,A7,'Sales Log'!$D$3:$D$201)</f>
        <v>0</v>
      </c>
      <c r="F7" s="4">
        <f>COUNTIF('Recruiting Log'!$A$3:$A$151,A7)</f>
        <v>0</v>
      </c>
      <c r="G7" s="4">
        <f>IF(B7&gt;=Dashboard!$B$5,1,0)</f>
        <v>0</v>
      </c>
      <c r="H7" s="4">
        <f t="shared" ca="1" si="1"/>
        <v>0</v>
      </c>
      <c r="I7" s="4"/>
    </row>
    <row r="8" spans="1:9" x14ac:dyDescent="0.35">
      <c r="A8" s="7">
        <f t="shared" si="0"/>
        <v>46215</v>
      </c>
      <c r="B8" s="4">
        <f>COUNTIF('Call Log'!$A$3:$A$301,A8)</f>
        <v>1</v>
      </c>
      <c r="C8" s="4">
        <f>COUNTIFS('Call Log'!$A$3:$A$301,A8,'Call Log'!$E$3:$E$301,"Appointment Set")+COUNTIFS('Appointment Log'!$A$3:$A$301,A8,'Appointment Log'!$C$3:$C$301,"Initial Meeting")</f>
        <v>0</v>
      </c>
      <c r="D8" s="4">
        <f>COUNTIFS('Appointment Log'!$A$3:$A$301,A8,'Appointment Log'!$D$3:$D$301,"Held")</f>
        <v>0</v>
      </c>
      <c r="E8" s="6">
        <f>SUMIF('Sales Log'!$A$3:$A$201,A8,'Sales Log'!$D$3:$D$201)</f>
        <v>0</v>
      </c>
      <c r="F8" s="4">
        <f>COUNTIF('Recruiting Log'!$A$3:$A$151,A8)</f>
        <v>0</v>
      </c>
      <c r="G8" s="4">
        <f>IF(B8&gt;=Dashboard!$B$5,1,0)</f>
        <v>0</v>
      </c>
      <c r="H8" s="4">
        <f t="shared" ca="1" si="1"/>
        <v>0</v>
      </c>
      <c r="I8" s="4"/>
    </row>
    <row r="9" spans="1:9" x14ac:dyDescent="0.35">
      <c r="A9" s="7">
        <f t="shared" si="0"/>
        <v>46216</v>
      </c>
      <c r="B9" s="4">
        <f>COUNTIF('Call Log'!$A$3:$A$301,A9)</f>
        <v>0</v>
      </c>
      <c r="C9" s="4">
        <f>COUNTIFS('Call Log'!$A$3:$A$301,A9,'Call Log'!$E$3:$E$301,"Appointment Set")+COUNTIFS('Appointment Log'!$A$3:$A$301,A9,'Appointment Log'!$C$3:$C$301,"Initial Meeting")</f>
        <v>0</v>
      </c>
      <c r="D9" s="4">
        <f>COUNTIFS('Appointment Log'!$A$3:$A$301,A9,'Appointment Log'!$D$3:$D$301,"Held")</f>
        <v>0</v>
      </c>
      <c r="E9" s="6">
        <f>SUMIF('Sales Log'!$A$3:$A$201,A9,'Sales Log'!$D$3:$D$201)</f>
        <v>0</v>
      </c>
      <c r="F9" s="4">
        <f>COUNTIF('Recruiting Log'!$A$3:$A$151,A9)</f>
        <v>0</v>
      </c>
      <c r="G9" s="4">
        <f>IF(B9&gt;=Dashboard!$B$5,1,0)</f>
        <v>0</v>
      </c>
      <c r="H9" s="4">
        <f t="shared" ca="1" si="1"/>
        <v>0</v>
      </c>
      <c r="I9" s="4"/>
    </row>
    <row r="10" spans="1:9" x14ac:dyDescent="0.35">
      <c r="A10" s="7">
        <f t="shared" si="0"/>
        <v>46217</v>
      </c>
      <c r="B10" s="4">
        <f>COUNTIF('Call Log'!$A$3:$A$301,A10)</f>
        <v>0</v>
      </c>
      <c r="C10" s="4">
        <f>COUNTIFS('Call Log'!$A$3:$A$301,A10,'Call Log'!$E$3:$E$301,"Appointment Set")+COUNTIFS('Appointment Log'!$A$3:$A$301,A10,'Appointment Log'!$C$3:$C$301,"Initial Meeting")</f>
        <v>0</v>
      </c>
      <c r="D10" s="4">
        <f>COUNTIFS('Appointment Log'!$A$3:$A$301,A10,'Appointment Log'!$D$3:$D$301,"Held")</f>
        <v>0</v>
      </c>
      <c r="E10" s="6">
        <f>SUMIF('Sales Log'!$A$3:$A$201,A10,'Sales Log'!$D$3:$D$201)</f>
        <v>0</v>
      </c>
      <c r="F10" s="4">
        <f>COUNTIF('Recruiting Log'!$A$3:$A$151,A10)</f>
        <v>0</v>
      </c>
      <c r="G10" s="4">
        <f>IF(B10&gt;=Dashboard!$B$5,1,0)</f>
        <v>0</v>
      </c>
      <c r="H10" s="4">
        <f t="shared" ca="1" si="1"/>
        <v>0</v>
      </c>
      <c r="I10" s="4"/>
    </row>
    <row r="11" spans="1:9" x14ac:dyDescent="0.35">
      <c r="A11" s="7">
        <f t="shared" si="0"/>
        <v>46218</v>
      </c>
      <c r="B11" s="4">
        <f>COUNTIF('Call Log'!$A$3:$A$301,A11)</f>
        <v>0</v>
      </c>
      <c r="C11" s="4">
        <f>COUNTIFS('Call Log'!$A$3:$A$301,A11,'Call Log'!$E$3:$E$301,"Appointment Set")+COUNTIFS('Appointment Log'!$A$3:$A$301,A11,'Appointment Log'!$C$3:$C$301,"Initial Meeting")</f>
        <v>0</v>
      </c>
      <c r="D11" s="4">
        <f>COUNTIFS('Appointment Log'!$A$3:$A$301,A11,'Appointment Log'!$D$3:$D$301,"Held")</f>
        <v>0</v>
      </c>
      <c r="E11" s="6">
        <f>SUMIF('Sales Log'!$A$3:$A$201,A11,'Sales Log'!$D$3:$D$201)</f>
        <v>0</v>
      </c>
      <c r="F11" s="4">
        <f>COUNTIF('Recruiting Log'!$A$3:$A$151,A11)</f>
        <v>0</v>
      </c>
      <c r="G11" s="4">
        <f>IF(B11&gt;=Dashboard!$B$5,1,0)</f>
        <v>0</v>
      </c>
      <c r="H11" s="4" t="str">
        <f t="shared" ca="1" si="1"/>
        <v/>
      </c>
      <c r="I11" s="4"/>
    </row>
    <row r="12" spans="1:9" x14ac:dyDescent="0.35">
      <c r="A12" s="7">
        <f t="shared" si="0"/>
        <v>46219</v>
      </c>
      <c r="B12" s="4">
        <f>COUNTIF('Call Log'!$A$3:$A$301,A12)</f>
        <v>0</v>
      </c>
      <c r="C12" s="4">
        <f>COUNTIFS('Call Log'!$A$3:$A$301,A12,'Call Log'!$E$3:$E$301,"Appointment Set")+COUNTIFS('Appointment Log'!$A$3:$A$301,A12,'Appointment Log'!$C$3:$C$301,"Initial Meeting")</f>
        <v>0</v>
      </c>
      <c r="D12" s="4">
        <f>COUNTIFS('Appointment Log'!$A$3:$A$301,A12,'Appointment Log'!$D$3:$D$301,"Held")</f>
        <v>0</v>
      </c>
      <c r="E12" s="6">
        <f>SUMIF('Sales Log'!$A$3:$A$201,A12,'Sales Log'!$D$3:$D$201)</f>
        <v>0</v>
      </c>
      <c r="F12" s="4">
        <f>COUNTIF('Recruiting Log'!$A$3:$A$151,A12)</f>
        <v>0</v>
      </c>
      <c r="G12" s="4">
        <f>IF(B12&gt;=Dashboard!$B$5,1,0)</f>
        <v>0</v>
      </c>
      <c r="H12" s="4" t="str">
        <f t="shared" ca="1" si="1"/>
        <v/>
      </c>
      <c r="I12" s="4"/>
    </row>
    <row r="13" spans="1:9" x14ac:dyDescent="0.35">
      <c r="A13" s="7">
        <f t="shared" si="0"/>
        <v>46220</v>
      </c>
      <c r="B13" s="4">
        <f>COUNTIF('Call Log'!$A$3:$A$301,A13)</f>
        <v>0</v>
      </c>
      <c r="C13" s="4">
        <f>COUNTIFS('Call Log'!$A$3:$A$301,A13,'Call Log'!$E$3:$E$301,"Appointment Set")+COUNTIFS('Appointment Log'!$A$3:$A$301,A13,'Appointment Log'!$C$3:$C$301,"Initial Meeting")</f>
        <v>0</v>
      </c>
      <c r="D13" s="4">
        <f>COUNTIFS('Appointment Log'!$A$3:$A$301,A13,'Appointment Log'!$D$3:$D$301,"Held")</f>
        <v>0</v>
      </c>
      <c r="E13" s="6">
        <f>SUMIF('Sales Log'!$A$3:$A$201,A13,'Sales Log'!$D$3:$D$201)</f>
        <v>0</v>
      </c>
      <c r="F13" s="4">
        <f>COUNTIF('Recruiting Log'!$A$3:$A$151,A13)</f>
        <v>0</v>
      </c>
      <c r="G13" s="4">
        <f>IF(B13&gt;=Dashboard!$B$5,1,0)</f>
        <v>0</v>
      </c>
      <c r="H13" s="4" t="str">
        <f t="shared" ca="1" si="1"/>
        <v/>
      </c>
      <c r="I13" s="4"/>
    </row>
    <row r="14" spans="1:9" x14ac:dyDescent="0.35">
      <c r="A14" s="7">
        <f t="shared" si="0"/>
        <v>46221</v>
      </c>
      <c r="B14" s="4">
        <f>COUNTIF('Call Log'!$A$3:$A$301,A14)</f>
        <v>0</v>
      </c>
      <c r="C14" s="4">
        <f>COUNTIFS('Call Log'!$A$3:$A$301,A14,'Call Log'!$E$3:$E$301,"Appointment Set")+COUNTIFS('Appointment Log'!$A$3:$A$301,A14,'Appointment Log'!$C$3:$C$301,"Initial Meeting")</f>
        <v>0</v>
      </c>
      <c r="D14" s="4">
        <f>COUNTIFS('Appointment Log'!$A$3:$A$301,A14,'Appointment Log'!$D$3:$D$301,"Held")</f>
        <v>0</v>
      </c>
      <c r="E14" s="6">
        <f>SUMIF('Sales Log'!$A$3:$A$201,A14,'Sales Log'!$D$3:$D$201)</f>
        <v>0</v>
      </c>
      <c r="F14" s="4">
        <f>COUNTIF('Recruiting Log'!$A$3:$A$151,A14)</f>
        <v>0</v>
      </c>
      <c r="G14" s="4">
        <f>IF(B14&gt;=Dashboard!$B$5,1,0)</f>
        <v>0</v>
      </c>
      <c r="H14" s="4" t="str">
        <f t="shared" ca="1" si="1"/>
        <v/>
      </c>
      <c r="I14" s="4"/>
    </row>
    <row r="15" spans="1:9" x14ac:dyDescent="0.35">
      <c r="A15" s="7">
        <f t="shared" si="0"/>
        <v>46222</v>
      </c>
      <c r="B15" s="4">
        <f>COUNTIF('Call Log'!$A$3:$A$301,A15)</f>
        <v>0</v>
      </c>
      <c r="C15" s="4">
        <f>COUNTIFS('Call Log'!$A$3:$A$301,A15,'Call Log'!$E$3:$E$301,"Appointment Set")+COUNTIFS('Appointment Log'!$A$3:$A$301,A15,'Appointment Log'!$C$3:$C$301,"Initial Meeting")</f>
        <v>0</v>
      </c>
      <c r="D15" s="4">
        <f>COUNTIFS('Appointment Log'!$A$3:$A$301,A15,'Appointment Log'!$D$3:$D$301,"Held")</f>
        <v>0</v>
      </c>
      <c r="E15" s="6">
        <f>SUMIF('Sales Log'!$A$3:$A$201,A15,'Sales Log'!$D$3:$D$201)</f>
        <v>0</v>
      </c>
      <c r="F15" s="4">
        <f>COUNTIF('Recruiting Log'!$A$3:$A$151,A15)</f>
        <v>0</v>
      </c>
      <c r="G15" s="4">
        <f>IF(B15&gt;=Dashboard!$B$5,1,0)</f>
        <v>0</v>
      </c>
      <c r="H15" s="4" t="str">
        <f t="shared" ca="1" si="1"/>
        <v/>
      </c>
      <c r="I15" s="4"/>
    </row>
    <row r="16" spans="1:9" x14ac:dyDescent="0.35">
      <c r="A16" s="7">
        <f t="shared" si="0"/>
        <v>46223</v>
      </c>
      <c r="B16" s="4">
        <f>COUNTIF('Call Log'!$A$3:$A$301,A16)</f>
        <v>0</v>
      </c>
      <c r="C16" s="4">
        <f>COUNTIFS('Call Log'!$A$3:$A$301,A16,'Call Log'!$E$3:$E$301,"Appointment Set")+COUNTIFS('Appointment Log'!$A$3:$A$301,A16,'Appointment Log'!$C$3:$C$301,"Initial Meeting")</f>
        <v>0</v>
      </c>
      <c r="D16" s="4">
        <f>COUNTIFS('Appointment Log'!$A$3:$A$301,A16,'Appointment Log'!$D$3:$D$301,"Held")</f>
        <v>0</v>
      </c>
      <c r="E16" s="6">
        <f>SUMIF('Sales Log'!$A$3:$A$201,A16,'Sales Log'!$D$3:$D$201)</f>
        <v>0</v>
      </c>
      <c r="F16" s="4">
        <f>COUNTIF('Recruiting Log'!$A$3:$A$151,A16)</f>
        <v>0</v>
      </c>
      <c r="G16" s="4">
        <f>IF(B16&gt;=Dashboard!$B$5,1,0)</f>
        <v>0</v>
      </c>
      <c r="H16" s="4" t="str">
        <f t="shared" ca="1" si="1"/>
        <v/>
      </c>
      <c r="I16" s="4"/>
    </row>
    <row r="17" spans="1:9" x14ac:dyDescent="0.35">
      <c r="A17" s="7">
        <f t="shared" si="0"/>
        <v>46224</v>
      </c>
      <c r="B17" s="4">
        <f>COUNTIF('Call Log'!$A$3:$A$301,A17)</f>
        <v>0</v>
      </c>
      <c r="C17" s="4">
        <f>COUNTIFS('Call Log'!$A$3:$A$301,A17,'Call Log'!$E$3:$E$301,"Appointment Set")+COUNTIFS('Appointment Log'!$A$3:$A$301,A17,'Appointment Log'!$C$3:$C$301,"Initial Meeting")</f>
        <v>0</v>
      </c>
      <c r="D17" s="4">
        <f>COUNTIFS('Appointment Log'!$A$3:$A$301,A17,'Appointment Log'!$D$3:$D$301,"Held")</f>
        <v>0</v>
      </c>
      <c r="E17" s="6">
        <f>SUMIF('Sales Log'!$A$3:$A$201,A17,'Sales Log'!$D$3:$D$201)</f>
        <v>0</v>
      </c>
      <c r="F17" s="4">
        <f>COUNTIF('Recruiting Log'!$A$3:$A$151,A17)</f>
        <v>0</v>
      </c>
      <c r="G17" s="4">
        <f>IF(B17&gt;=Dashboard!$B$5,1,0)</f>
        <v>0</v>
      </c>
      <c r="H17" s="4" t="str">
        <f t="shared" ca="1" si="1"/>
        <v/>
      </c>
      <c r="I17" s="4"/>
    </row>
    <row r="18" spans="1:9" x14ac:dyDescent="0.35">
      <c r="A18" s="7">
        <f t="shared" si="0"/>
        <v>46225</v>
      </c>
      <c r="B18" s="4">
        <f>COUNTIF('Call Log'!$A$3:$A$301,A18)</f>
        <v>0</v>
      </c>
      <c r="C18" s="4">
        <f>COUNTIFS('Call Log'!$A$3:$A$301,A18,'Call Log'!$E$3:$E$301,"Appointment Set")+COUNTIFS('Appointment Log'!$A$3:$A$301,A18,'Appointment Log'!$C$3:$C$301,"Initial Meeting")</f>
        <v>0</v>
      </c>
      <c r="D18" s="4">
        <f>COUNTIFS('Appointment Log'!$A$3:$A$301,A18,'Appointment Log'!$D$3:$D$301,"Held")</f>
        <v>0</v>
      </c>
      <c r="E18" s="6">
        <f>SUMIF('Sales Log'!$A$3:$A$201,A18,'Sales Log'!$D$3:$D$201)</f>
        <v>0</v>
      </c>
      <c r="F18" s="4">
        <f>COUNTIF('Recruiting Log'!$A$3:$A$151,A18)</f>
        <v>0</v>
      </c>
      <c r="G18" s="4">
        <f>IF(B18&gt;=Dashboard!$B$5,1,0)</f>
        <v>0</v>
      </c>
      <c r="H18" s="4" t="str">
        <f t="shared" ca="1" si="1"/>
        <v/>
      </c>
      <c r="I18" s="4"/>
    </row>
    <row r="19" spans="1:9" x14ac:dyDescent="0.35">
      <c r="A19" s="7">
        <f t="shared" si="0"/>
        <v>46226</v>
      </c>
      <c r="B19" s="4">
        <f>COUNTIF('Call Log'!$A$3:$A$301,A19)</f>
        <v>0</v>
      </c>
      <c r="C19" s="4">
        <f>COUNTIFS('Call Log'!$A$3:$A$301,A19,'Call Log'!$E$3:$E$301,"Appointment Set")+COUNTIFS('Appointment Log'!$A$3:$A$301,A19,'Appointment Log'!$C$3:$C$301,"Initial Meeting")</f>
        <v>0</v>
      </c>
      <c r="D19" s="4">
        <f>COUNTIFS('Appointment Log'!$A$3:$A$301,A19,'Appointment Log'!$D$3:$D$301,"Held")</f>
        <v>0</v>
      </c>
      <c r="E19" s="6">
        <f>SUMIF('Sales Log'!$A$3:$A$201,A19,'Sales Log'!$D$3:$D$201)</f>
        <v>0</v>
      </c>
      <c r="F19" s="4">
        <f>COUNTIF('Recruiting Log'!$A$3:$A$151,A19)</f>
        <v>0</v>
      </c>
      <c r="G19" s="4">
        <f>IF(B19&gt;=Dashboard!$B$5,1,0)</f>
        <v>0</v>
      </c>
      <c r="H19" s="4" t="str">
        <f t="shared" ca="1" si="1"/>
        <v/>
      </c>
      <c r="I19" s="4"/>
    </row>
    <row r="20" spans="1:9" x14ac:dyDescent="0.35">
      <c r="A20" s="7">
        <f t="shared" si="0"/>
        <v>46227</v>
      </c>
      <c r="B20" s="4">
        <f>COUNTIF('Call Log'!$A$3:$A$301,A20)</f>
        <v>0</v>
      </c>
      <c r="C20" s="4">
        <f>COUNTIFS('Call Log'!$A$3:$A$301,A20,'Call Log'!$E$3:$E$301,"Appointment Set")+COUNTIFS('Appointment Log'!$A$3:$A$301,A20,'Appointment Log'!$C$3:$C$301,"Initial Meeting")</f>
        <v>0</v>
      </c>
      <c r="D20" s="4">
        <f>COUNTIFS('Appointment Log'!$A$3:$A$301,A20,'Appointment Log'!$D$3:$D$301,"Held")</f>
        <v>0</v>
      </c>
      <c r="E20" s="6">
        <f>SUMIF('Sales Log'!$A$3:$A$201,A20,'Sales Log'!$D$3:$D$201)</f>
        <v>0</v>
      </c>
      <c r="F20" s="4">
        <f>COUNTIF('Recruiting Log'!$A$3:$A$151,A20)</f>
        <v>0</v>
      </c>
      <c r="G20" s="4">
        <f>IF(B20&gt;=Dashboard!$B$5,1,0)</f>
        <v>0</v>
      </c>
      <c r="H20" s="4" t="str">
        <f t="shared" ca="1" si="1"/>
        <v/>
      </c>
      <c r="I20" s="4"/>
    </row>
    <row r="21" spans="1:9" x14ac:dyDescent="0.35">
      <c r="A21" s="7">
        <f t="shared" si="0"/>
        <v>46228</v>
      </c>
      <c r="B21" s="4">
        <f>COUNTIF('Call Log'!$A$3:$A$301,A21)</f>
        <v>0</v>
      </c>
      <c r="C21" s="4">
        <f>COUNTIFS('Call Log'!$A$3:$A$301,A21,'Call Log'!$E$3:$E$301,"Appointment Set")+COUNTIFS('Appointment Log'!$A$3:$A$301,A21,'Appointment Log'!$C$3:$C$301,"Initial Meeting")</f>
        <v>0</v>
      </c>
      <c r="D21" s="4">
        <f>COUNTIFS('Appointment Log'!$A$3:$A$301,A21,'Appointment Log'!$D$3:$D$301,"Held")</f>
        <v>0</v>
      </c>
      <c r="E21" s="6">
        <f>SUMIF('Sales Log'!$A$3:$A$201,A21,'Sales Log'!$D$3:$D$201)</f>
        <v>0</v>
      </c>
      <c r="F21" s="4">
        <f>COUNTIF('Recruiting Log'!$A$3:$A$151,A21)</f>
        <v>0</v>
      </c>
      <c r="G21" s="4">
        <f>IF(B21&gt;=Dashboard!$B$5,1,0)</f>
        <v>0</v>
      </c>
      <c r="H21" s="4" t="str">
        <f t="shared" ca="1" si="1"/>
        <v/>
      </c>
      <c r="I21" s="4"/>
    </row>
    <row r="22" spans="1:9" x14ac:dyDescent="0.35">
      <c r="A22" s="7">
        <f t="shared" si="0"/>
        <v>46229</v>
      </c>
      <c r="B22" s="4">
        <f>COUNTIF('Call Log'!$A$3:$A$301,A22)</f>
        <v>0</v>
      </c>
      <c r="C22" s="4">
        <f>COUNTIFS('Call Log'!$A$3:$A$301,A22,'Call Log'!$E$3:$E$301,"Appointment Set")+COUNTIFS('Appointment Log'!$A$3:$A$301,A22,'Appointment Log'!$C$3:$C$301,"Initial Meeting")</f>
        <v>0</v>
      </c>
      <c r="D22" s="4">
        <f>COUNTIFS('Appointment Log'!$A$3:$A$301,A22,'Appointment Log'!$D$3:$D$301,"Held")</f>
        <v>0</v>
      </c>
      <c r="E22" s="6">
        <f>SUMIF('Sales Log'!$A$3:$A$201,A22,'Sales Log'!$D$3:$D$201)</f>
        <v>0</v>
      </c>
      <c r="F22" s="4">
        <f>COUNTIF('Recruiting Log'!$A$3:$A$151,A22)</f>
        <v>0</v>
      </c>
      <c r="G22" s="4">
        <f>IF(B22&gt;=Dashboard!$B$5,1,0)</f>
        <v>0</v>
      </c>
      <c r="H22" s="4" t="str">
        <f t="shared" ca="1" si="1"/>
        <v/>
      </c>
      <c r="I22" s="4"/>
    </row>
    <row r="23" spans="1:9" x14ac:dyDescent="0.35">
      <c r="A23" s="7">
        <f t="shared" si="0"/>
        <v>46230</v>
      </c>
      <c r="B23" s="4">
        <f>COUNTIF('Call Log'!$A$3:$A$301,A23)</f>
        <v>0</v>
      </c>
      <c r="C23" s="4">
        <f>COUNTIFS('Call Log'!$A$3:$A$301,A23,'Call Log'!$E$3:$E$301,"Appointment Set")+COUNTIFS('Appointment Log'!$A$3:$A$301,A23,'Appointment Log'!$C$3:$C$301,"Initial Meeting")</f>
        <v>0</v>
      </c>
      <c r="D23" s="4">
        <f>COUNTIFS('Appointment Log'!$A$3:$A$301,A23,'Appointment Log'!$D$3:$D$301,"Held")</f>
        <v>0</v>
      </c>
      <c r="E23" s="6">
        <f>SUMIF('Sales Log'!$A$3:$A$201,A23,'Sales Log'!$D$3:$D$201)</f>
        <v>0</v>
      </c>
      <c r="F23" s="4">
        <f>COUNTIF('Recruiting Log'!$A$3:$A$151,A23)</f>
        <v>0</v>
      </c>
      <c r="G23" s="4">
        <f>IF(B23&gt;=Dashboard!$B$5,1,0)</f>
        <v>0</v>
      </c>
      <c r="H23" s="4" t="str">
        <f t="shared" ca="1" si="1"/>
        <v/>
      </c>
      <c r="I23" s="4"/>
    </row>
    <row r="24" spans="1:9" x14ac:dyDescent="0.35">
      <c r="A24" s="7">
        <f t="shared" si="0"/>
        <v>46231</v>
      </c>
      <c r="B24" s="4">
        <f>COUNTIF('Call Log'!$A$3:$A$301,A24)</f>
        <v>0</v>
      </c>
      <c r="C24" s="4">
        <f>COUNTIFS('Call Log'!$A$3:$A$301,A24,'Call Log'!$E$3:$E$301,"Appointment Set")+COUNTIFS('Appointment Log'!$A$3:$A$301,A24,'Appointment Log'!$C$3:$C$301,"Initial Meeting")</f>
        <v>0</v>
      </c>
      <c r="D24" s="4">
        <f>COUNTIFS('Appointment Log'!$A$3:$A$301,A24,'Appointment Log'!$D$3:$D$301,"Held")</f>
        <v>0</v>
      </c>
      <c r="E24" s="6">
        <f>SUMIF('Sales Log'!$A$3:$A$201,A24,'Sales Log'!$D$3:$D$201)</f>
        <v>0</v>
      </c>
      <c r="F24" s="4">
        <f>COUNTIF('Recruiting Log'!$A$3:$A$151,A24)</f>
        <v>0</v>
      </c>
      <c r="G24" s="4">
        <f>IF(B24&gt;=Dashboard!$B$5,1,0)</f>
        <v>0</v>
      </c>
      <c r="H24" s="4" t="str">
        <f t="shared" ca="1" si="1"/>
        <v/>
      </c>
      <c r="I24" s="4"/>
    </row>
    <row r="25" spans="1:9" x14ac:dyDescent="0.35">
      <c r="A25" s="7">
        <f t="shared" si="0"/>
        <v>46232</v>
      </c>
      <c r="B25" s="4">
        <f>COUNTIF('Call Log'!$A$3:$A$301,A25)</f>
        <v>0</v>
      </c>
      <c r="C25" s="4">
        <f>COUNTIFS('Call Log'!$A$3:$A$301,A25,'Call Log'!$E$3:$E$301,"Appointment Set")+COUNTIFS('Appointment Log'!$A$3:$A$301,A25,'Appointment Log'!$C$3:$C$301,"Initial Meeting")</f>
        <v>0</v>
      </c>
      <c r="D25" s="4">
        <f>COUNTIFS('Appointment Log'!$A$3:$A$301,A25,'Appointment Log'!$D$3:$D$301,"Held")</f>
        <v>0</v>
      </c>
      <c r="E25" s="6">
        <f>SUMIF('Sales Log'!$A$3:$A$201,A25,'Sales Log'!$D$3:$D$201)</f>
        <v>0</v>
      </c>
      <c r="F25" s="4">
        <f>COUNTIF('Recruiting Log'!$A$3:$A$151,A25)</f>
        <v>0</v>
      </c>
      <c r="G25" s="4">
        <f>IF(B25&gt;=Dashboard!$B$5,1,0)</f>
        <v>0</v>
      </c>
      <c r="H25" s="4" t="str">
        <f t="shared" ca="1" si="1"/>
        <v/>
      </c>
      <c r="I25" s="4"/>
    </row>
    <row r="26" spans="1:9" x14ac:dyDescent="0.35">
      <c r="A26" s="7">
        <f t="shared" si="0"/>
        <v>46233</v>
      </c>
      <c r="B26" s="4">
        <f>COUNTIF('Call Log'!$A$3:$A$301,A26)</f>
        <v>0</v>
      </c>
      <c r="C26" s="4">
        <f>COUNTIFS('Call Log'!$A$3:$A$301,A26,'Call Log'!$E$3:$E$301,"Appointment Set")+COUNTIFS('Appointment Log'!$A$3:$A$301,A26,'Appointment Log'!$C$3:$C$301,"Initial Meeting")</f>
        <v>0</v>
      </c>
      <c r="D26" s="4">
        <f>COUNTIFS('Appointment Log'!$A$3:$A$301,A26,'Appointment Log'!$D$3:$D$301,"Held")</f>
        <v>0</v>
      </c>
      <c r="E26" s="6">
        <f>SUMIF('Sales Log'!$A$3:$A$201,A26,'Sales Log'!$D$3:$D$201)</f>
        <v>0</v>
      </c>
      <c r="F26" s="4">
        <f>COUNTIF('Recruiting Log'!$A$3:$A$151,A26)</f>
        <v>0</v>
      </c>
      <c r="G26" s="4">
        <f>IF(B26&gt;=Dashboard!$B$5,1,0)</f>
        <v>0</v>
      </c>
      <c r="H26" s="4" t="str">
        <f t="shared" ca="1" si="1"/>
        <v/>
      </c>
      <c r="I26" s="4"/>
    </row>
    <row r="27" spans="1:9" x14ac:dyDescent="0.35">
      <c r="A27" s="7">
        <f t="shared" si="0"/>
        <v>46234</v>
      </c>
      <c r="B27" s="4">
        <f>COUNTIF('Call Log'!$A$3:$A$301,A27)</f>
        <v>0</v>
      </c>
      <c r="C27" s="4">
        <f>COUNTIFS('Call Log'!$A$3:$A$301,A27,'Call Log'!$E$3:$E$301,"Appointment Set")+COUNTIFS('Appointment Log'!$A$3:$A$301,A27,'Appointment Log'!$C$3:$C$301,"Initial Meeting")</f>
        <v>0</v>
      </c>
      <c r="D27" s="4">
        <f>COUNTIFS('Appointment Log'!$A$3:$A$301,A27,'Appointment Log'!$D$3:$D$301,"Held")</f>
        <v>0</v>
      </c>
      <c r="E27" s="6">
        <f>SUMIF('Sales Log'!$A$3:$A$201,A27,'Sales Log'!$D$3:$D$201)</f>
        <v>0</v>
      </c>
      <c r="F27" s="4">
        <f>COUNTIF('Recruiting Log'!$A$3:$A$151,A27)</f>
        <v>0</v>
      </c>
      <c r="G27" s="4">
        <f>IF(B27&gt;=Dashboard!$B$5,1,0)</f>
        <v>0</v>
      </c>
      <c r="H27" s="4" t="str">
        <f t="shared" ca="1" si="1"/>
        <v/>
      </c>
      <c r="I27" s="4"/>
    </row>
    <row r="28" spans="1:9" x14ac:dyDescent="0.35">
      <c r="A28" s="7">
        <f t="shared" si="0"/>
        <v>46235</v>
      </c>
      <c r="B28" s="4">
        <f>COUNTIF('Call Log'!$A$3:$A$301,A28)</f>
        <v>0</v>
      </c>
      <c r="C28" s="4">
        <f>COUNTIFS('Call Log'!$A$3:$A$301,A28,'Call Log'!$E$3:$E$301,"Appointment Set")+COUNTIFS('Appointment Log'!$A$3:$A$301,A28,'Appointment Log'!$C$3:$C$301,"Initial Meeting")</f>
        <v>0</v>
      </c>
      <c r="D28" s="4">
        <f>COUNTIFS('Appointment Log'!$A$3:$A$301,A28,'Appointment Log'!$D$3:$D$301,"Held")</f>
        <v>0</v>
      </c>
      <c r="E28" s="6">
        <f>SUMIF('Sales Log'!$A$3:$A$201,A28,'Sales Log'!$D$3:$D$201)</f>
        <v>0</v>
      </c>
      <c r="F28" s="4">
        <f>COUNTIF('Recruiting Log'!$A$3:$A$151,A28)</f>
        <v>0</v>
      </c>
      <c r="G28" s="4">
        <f>IF(B28&gt;=Dashboard!$B$5,1,0)</f>
        <v>0</v>
      </c>
      <c r="H28" s="4" t="str">
        <f t="shared" ca="1" si="1"/>
        <v/>
      </c>
      <c r="I28" s="4"/>
    </row>
    <row r="29" spans="1:9" x14ac:dyDescent="0.35">
      <c r="A29" s="7">
        <f t="shared" si="0"/>
        <v>46236</v>
      </c>
      <c r="B29" s="4">
        <f>COUNTIF('Call Log'!$A$3:$A$301,A29)</f>
        <v>0</v>
      </c>
      <c r="C29" s="4">
        <f>COUNTIFS('Call Log'!$A$3:$A$301,A29,'Call Log'!$E$3:$E$301,"Appointment Set")+COUNTIFS('Appointment Log'!$A$3:$A$301,A29,'Appointment Log'!$C$3:$C$301,"Initial Meeting")</f>
        <v>0</v>
      </c>
      <c r="D29" s="4">
        <f>COUNTIFS('Appointment Log'!$A$3:$A$301,A29,'Appointment Log'!$D$3:$D$301,"Held")</f>
        <v>0</v>
      </c>
      <c r="E29" s="6">
        <f>SUMIF('Sales Log'!$A$3:$A$201,A29,'Sales Log'!$D$3:$D$201)</f>
        <v>0</v>
      </c>
      <c r="F29" s="4">
        <f>COUNTIF('Recruiting Log'!$A$3:$A$151,A29)</f>
        <v>0</v>
      </c>
      <c r="G29" s="4">
        <f>IF(B29&gt;=Dashboard!$B$5,1,0)</f>
        <v>0</v>
      </c>
      <c r="H29" s="4" t="str">
        <f t="shared" ca="1" si="1"/>
        <v/>
      </c>
      <c r="I29" s="4"/>
    </row>
    <row r="30" spans="1:9" x14ac:dyDescent="0.35">
      <c r="A30" s="7">
        <f t="shared" si="0"/>
        <v>46237</v>
      </c>
      <c r="B30" s="4">
        <f>COUNTIF('Call Log'!$A$3:$A$301,A30)</f>
        <v>0</v>
      </c>
      <c r="C30" s="4">
        <f>COUNTIFS('Call Log'!$A$3:$A$301,A30,'Call Log'!$E$3:$E$301,"Appointment Set")+COUNTIFS('Appointment Log'!$A$3:$A$301,A30,'Appointment Log'!$C$3:$C$301,"Initial Meeting")</f>
        <v>0</v>
      </c>
      <c r="D30" s="4">
        <f>COUNTIFS('Appointment Log'!$A$3:$A$301,A30,'Appointment Log'!$D$3:$D$301,"Held")</f>
        <v>0</v>
      </c>
      <c r="E30" s="6">
        <f>SUMIF('Sales Log'!$A$3:$A$201,A30,'Sales Log'!$D$3:$D$201)</f>
        <v>0</v>
      </c>
      <c r="F30" s="4">
        <f>COUNTIF('Recruiting Log'!$A$3:$A$151,A30)</f>
        <v>0</v>
      </c>
      <c r="G30" s="4">
        <f>IF(B30&gt;=Dashboard!$B$5,1,0)</f>
        <v>0</v>
      </c>
      <c r="H30" s="4" t="str">
        <f t="shared" ca="1" si="1"/>
        <v/>
      </c>
      <c r="I30" s="4"/>
    </row>
    <row r="31" spans="1:9" x14ac:dyDescent="0.35">
      <c r="A31" s="7">
        <f t="shared" si="0"/>
        <v>46238</v>
      </c>
      <c r="B31" s="4">
        <f>COUNTIF('Call Log'!$A$3:$A$301,A31)</f>
        <v>0</v>
      </c>
      <c r="C31" s="4">
        <f>COUNTIFS('Call Log'!$A$3:$A$301,A31,'Call Log'!$E$3:$E$301,"Appointment Set")+COUNTIFS('Appointment Log'!$A$3:$A$301,A31,'Appointment Log'!$C$3:$C$301,"Initial Meeting")</f>
        <v>0</v>
      </c>
      <c r="D31" s="4">
        <f>COUNTIFS('Appointment Log'!$A$3:$A$301,A31,'Appointment Log'!$D$3:$D$301,"Held")</f>
        <v>0</v>
      </c>
      <c r="E31" s="6">
        <f>SUMIF('Sales Log'!$A$3:$A$201,A31,'Sales Log'!$D$3:$D$201)</f>
        <v>0</v>
      </c>
      <c r="F31" s="4">
        <f>COUNTIF('Recruiting Log'!$A$3:$A$151,A31)</f>
        <v>0</v>
      </c>
      <c r="G31" s="4">
        <f>IF(B31&gt;=Dashboard!$B$5,1,0)</f>
        <v>0</v>
      </c>
      <c r="H31" s="4" t="str">
        <f t="shared" ca="1" si="1"/>
        <v/>
      </c>
      <c r="I31" s="4"/>
    </row>
    <row r="32" spans="1:9" x14ac:dyDescent="0.35">
      <c r="A32" s="7">
        <f t="shared" si="0"/>
        <v>46239</v>
      </c>
      <c r="B32" s="4">
        <f>COUNTIF('Call Log'!$A$3:$A$301,A32)</f>
        <v>0</v>
      </c>
      <c r="C32" s="4">
        <f>COUNTIFS('Call Log'!$A$3:$A$301,A32,'Call Log'!$E$3:$E$301,"Appointment Set")+COUNTIFS('Appointment Log'!$A$3:$A$301,A32,'Appointment Log'!$C$3:$C$301,"Initial Meeting")</f>
        <v>0</v>
      </c>
      <c r="D32" s="4">
        <f>COUNTIFS('Appointment Log'!$A$3:$A$301,A32,'Appointment Log'!$D$3:$D$301,"Held")</f>
        <v>0</v>
      </c>
      <c r="E32" s="6">
        <f>SUMIF('Sales Log'!$A$3:$A$201,A32,'Sales Log'!$D$3:$D$201)</f>
        <v>0</v>
      </c>
      <c r="F32" s="4">
        <f>COUNTIF('Recruiting Log'!$A$3:$A$151,A32)</f>
        <v>0</v>
      </c>
      <c r="G32" s="4">
        <f>IF(B32&gt;=Dashboard!$B$5,1,0)</f>
        <v>0</v>
      </c>
      <c r="H32" s="4" t="str">
        <f t="shared" ca="1" si="1"/>
        <v/>
      </c>
      <c r="I32" s="4"/>
    </row>
    <row r="33" spans="1:9" x14ac:dyDescent="0.35">
      <c r="A33" s="7">
        <f t="shared" si="0"/>
        <v>46240</v>
      </c>
      <c r="B33" s="4">
        <f>COUNTIF('Call Log'!$A$3:$A$301,A33)</f>
        <v>0</v>
      </c>
      <c r="C33" s="4">
        <f>COUNTIFS('Call Log'!$A$3:$A$301,A33,'Call Log'!$E$3:$E$301,"Appointment Set")+COUNTIFS('Appointment Log'!$A$3:$A$301,A33,'Appointment Log'!$C$3:$C$301,"Initial Meeting")</f>
        <v>0</v>
      </c>
      <c r="D33" s="4">
        <f>COUNTIFS('Appointment Log'!$A$3:$A$301,A33,'Appointment Log'!$D$3:$D$301,"Held")</f>
        <v>0</v>
      </c>
      <c r="E33" s="6">
        <f>SUMIF('Sales Log'!$A$3:$A$201,A33,'Sales Log'!$D$3:$D$201)</f>
        <v>0</v>
      </c>
      <c r="F33" s="4">
        <f>COUNTIF('Recruiting Log'!$A$3:$A$151,A33)</f>
        <v>0</v>
      </c>
      <c r="G33" s="4">
        <f>IF(B33&gt;=Dashboard!$B$5,1,0)</f>
        <v>0</v>
      </c>
      <c r="H33" s="4" t="str">
        <f t="shared" ca="1" si="1"/>
        <v/>
      </c>
      <c r="I33" s="4"/>
    </row>
    <row r="34" spans="1:9" x14ac:dyDescent="0.35">
      <c r="A34" s="7">
        <f t="shared" si="0"/>
        <v>46241</v>
      </c>
      <c r="B34" s="4">
        <f>COUNTIF('Call Log'!$A$3:$A$301,A34)</f>
        <v>0</v>
      </c>
      <c r="C34" s="4">
        <f>COUNTIFS('Call Log'!$A$3:$A$301,A34,'Call Log'!$E$3:$E$301,"Appointment Set")+COUNTIFS('Appointment Log'!$A$3:$A$301,A34,'Appointment Log'!$C$3:$C$301,"Initial Meeting")</f>
        <v>0</v>
      </c>
      <c r="D34" s="4">
        <f>COUNTIFS('Appointment Log'!$A$3:$A$301,A34,'Appointment Log'!$D$3:$D$301,"Held")</f>
        <v>0</v>
      </c>
      <c r="E34" s="6">
        <f>SUMIF('Sales Log'!$A$3:$A$201,A34,'Sales Log'!$D$3:$D$201)</f>
        <v>0</v>
      </c>
      <c r="F34" s="4">
        <f>COUNTIF('Recruiting Log'!$A$3:$A$151,A34)</f>
        <v>0</v>
      </c>
      <c r="G34" s="4">
        <f>IF(B34&gt;=Dashboard!$B$5,1,0)</f>
        <v>0</v>
      </c>
      <c r="H34" s="4" t="str">
        <f t="shared" ca="1" si="1"/>
        <v/>
      </c>
      <c r="I34" s="4"/>
    </row>
    <row r="35" spans="1:9" x14ac:dyDescent="0.35">
      <c r="A35" s="7">
        <f t="shared" ref="A35:A62" si="2">A34+1</f>
        <v>46242</v>
      </c>
      <c r="B35" s="4">
        <f>COUNTIF('Call Log'!$A$3:$A$301,A35)</f>
        <v>0</v>
      </c>
      <c r="C35" s="4">
        <f>COUNTIFS('Call Log'!$A$3:$A$301,A35,'Call Log'!$E$3:$E$301,"Appointment Set")+COUNTIFS('Appointment Log'!$A$3:$A$301,A35,'Appointment Log'!$C$3:$C$301,"Initial Meeting")</f>
        <v>0</v>
      </c>
      <c r="D35" s="4">
        <f>COUNTIFS('Appointment Log'!$A$3:$A$301,A35,'Appointment Log'!$D$3:$D$301,"Held")</f>
        <v>0</v>
      </c>
      <c r="E35" s="6">
        <f>SUMIF('Sales Log'!$A$3:$A$201,A35,'Sales Log'!$D$3:$D$201)</f>
        <v>0</v>
      </c>
      <c r="F35" s="4">
        <f>COUNTIF('Recruiting Log'!$A$3:$A$151,A35)</f>
        <v>0</v>
      </c>
      <c r="G35" s="4">
        <f>IF(B35&gt;=Dashboard!$B$5,1,0)</f>
        <v>0</v>
      </c>
      <c r="H35" s="4" t="str">
        <f t="shared" ref="H35:H62" ca="1" si="3">IF(A35&gt;TODAY(),"",IF(G35=1,IF(ISNUMBER(H34),H34+1,1),0))</f>
        <v/>
      </c>
      <c r="I35" s="4"/>
    </row>
    <row r="36" spans="1:9" x14ac:dyDescent="0.35">
      <c r="A36" s="7">
        <f t="shared" si="2"/>
        <v>46243</v>
      </c>
      <c r="B36" s="4">
        <f>COUNTIF('Call Log'!$A$3:$A$301,A36)</f>
        <v>0</v>
      </c>
      <c r="C36" s="4">
        <f>COUNTIFS('Call Log'!$A$3:$A$301,A36,'Call Log'!$E$3:$E$301,"Appointment Set")+COUNTIFS('Appointment Log'!$A$3:$A$301,A36,'Appointment Log'!$C$3:$C$301,"Initial Meeting")</f>
        <v>0</v>
      </c>
      <c r="D36" s="4">
        <f>COUNTIFS('Appointment Log'!$A$3:$A$301,A36,'Appointment Log'!$D$3:$D$301,"Held")</f>
        <v>0</v>
      </c>
      <c r="E36" s="6">
        <f>SUMIF('Sales Log'!$A$3:$A$201,A36,'Sales Log'!$D$3:$D$201)</f>
        <v>0</v>
      </c>
      <c r="F36" s="4">
        <f>COUNTIF('Recruiting Log'!$A$3:$A$151,A36)</f>
        <v>0</v>
      </c>
      <c r="G36" s="4">
        <f>IF(B36&gt;=Dashboard!$B$5,1,0)</f>
        <v>0</v>
      </c>
      <c r="H36" s="4" t="str">
        <f t="shared" ca="1" si="3"/>
        <v/>
      </c>
      <c r="I36" s="4"/>
    </row>
    <row r="37" spans="1:9" x14ac:dyDescent="0.35">
      <c r="A37" s="7">
        <f t="shared" si="2"/>
        <v>46244</v>
      </c>
      <c r="B37" s="4">
        <f>COUNTIF('Call Log'!$A$3:$A$301,A37)</f>
        <v>0</v>
      </c>
      <c r="C37" s="4">
        <f>COUNTIFS('Call Log'!$A$3:$A$301,A37,'Call Log'!$E$3:$E$301,"Appointment Set")+COUNTIFS('Appointment Log'!$A$3:$A$301,A37,'Appointment Log'!$C$3:$C$301,"Initial Meeting")</f>
        <v>0</v>
      </c>
      <c r="D37" s="4">
        <f>COUNTIFS('Appointment Log'!$A$3:$A$301,A37,'Appointment Log'!$D$3:$D$301,"Held")</f>
        <v>0</v>
      </c>
      <c r="E37" s="6">
        <f>SUMIF('Sales Log'!$A$3:$A$201,A37,'Sales Log'!$D$3:$D$201)</f>
        <v>0</v>
      </c>
      <c r="F37" s="4">
        <f>COUNTIF('Recruiting Log'!$A$3:$A$151,A37)</f>
        <v>0</v>
      </c>
      <c r="G37" s="4">
        <f>IF(B37&gt;=Dashboard!$B$5,1,0)</f>
        <v>0</v>
      </c>
      <c r="H37" s="4" t="str">
        <f t="shared" ca="1" si="3"/>
        <v/>
      </c>
      <c r="I37" s="4"/>
    </row>
    <row r="38" spans="1:9" x14ac:dyDescent="0.35">
      <c r="A38" s="7">
        <f t="shared" si="2"/>
        <v>46245</v>
      </c>
      <c r="B38" s="4">
        <f>COUNTIF('Call Log'!$A$3:$A$301,A38)</f>
        <v>0</v>
      </c>
      <c r="C38" s="4">
        <f>COUNTIFS('Call Log'!$A$3:$A$301,A38,'Call Log'!$E$3:$E$301,"Appointment Set")+COUNTIFS('Appointment Log'!$A$3:$A$301,A38,'Appointment Log'!$C$3:$C$301,"Initial Meeting")</f>
        <v>0</v>
      </c>
      <c r="D38" s="4">
        <f>COUNTIFS('Appointment Log'!$A$3:$A$301,A38,'Appointment Log'!$D$3:$D$301,"Held")</f>
        <v>0</v>
      </c>
      <c r="E38" s="6">
        <f>SUMIF('Sales Log'!$A$3:$A$201,A38,'Sales Log'!$D$3:$D$201)</f>
        <v>0</v>
      </c>
      <c r="F38" s="4">
        <f>COUNTIF('Recruiting Log'!$A$3:$A$151,A38)</f>
        <v>0</v>
      </c>
      <c r="G38" s="4">
        <f>IF(B38&gt;=Dashboard!$B$5,1,0)</f>
        <v>0</v>
      </c>
      <c r="H38" s="4" t="str">
        <f t="shared" ca="1" si="3"/>
        <v/>
      </c>
      <c r="I38" s="4"/>
    </row>
    <row r="39" spans="1:9" x14ac:dyDescent="0.35">
      <c r="A39" s="7">
        <f t="shared" si="2"/>
        <v>46246</v>
      </c>
      <c r="B39" s="4">
        <f>COUNTIF('Call Log'!$A$3:$A$301,A39)</f>
        <v>0</v>
      </c>
      <c r="C39" s="4">
        <f>COUNTIFS('Call Log'!$A$3:$A$301,A39,'Call Log'!$E$3:$E$301,"Appointment Set")+COUNTIFS('Appointment Log'!$A$3:$A$301,A39,'Appointment Log'!$C$3:$C$301,"Initial Meeting")</f>
        <v>0</v>
      </c>
      <c r="D39" s="4">
        <f>COUNTIFS('Appointment Log'!$A$3:$A$301,A39,'Appointment Log'!$D$3:$D$301,"Held")</f>
        <v>0</v>
      </c>
      <c r="E39" s="6">
        <f>SUMIF('Sales Log'!$A$3:$A$201,A39,'Sales Log'!$D$3:$D$201)</f>
        <v>0</v>
      </c>
      <c r="F39" s="4">
        <f>COUNTIF('Recruiting Log'!$A$3:$A$151,A39)</f>
        <v>0</v>
      </c>
      <c r="G39" s="4">
        <f>IF(B39&gt;=Dashboard!$B$5,1,0)</f>
        <v>0</v>
      </c>
      <c r="H39" s="4" t="str">
        <f t="shared" ca="1" si="3"/>
        <v/>
      </c>
      <c r="I39" s="4"/>
    </row>
    <row r="40" spans="1:9" x14ac:dyDescent="0.35">
      <c r="A40" s="7">
        <f t="shared" si="2"/>
        <v>46247</v>
      </c>
      <c r="B40" s="4">
        <f>COUNTIF('Call Log'!$A$3:$A$301,A40)</f>
        <v>0</v>
      </c>
      <c r="C40" s="4">
        <f>COUNTIFS('Call Log'!$A$3:$A$301,A40,'Call Log'!$E$3:$E$301,"Appointment Set")+COUNTIFS('Appointment Log'!$A$3:$A$301,A40,'Appointment Log'!$C$3:$C$301,"Initial Meeting")</f>
        <v>0</v>
      </c>
      <c r="D40" s="4">
        <f>COUNTIFS('Appointment Log'!$A$3:$A$301,A40,'Appointment Log'!$D$3:$D$301,"Held")</f>
        <v>0</v>
      </c>
      <c r="E40" s="6">
        <f>SUMIF('Sales Log'!$A$3:$A$201,A40,'Sales Log'!$D$3:$D$201)</f>
        <v>0</v>
      </c>
      <c r="F40" s="4">
        <f>COUNTIF('Recruiting Log'!$A$3:$A$151,A40)</f>
        <v>0</v>
      </c>
      <c r="G40" s="4">
        <f>IF(B40&gt;=Dashboard!$B$5,1,0)</f>
        <v>0</v>
      </c>
      <c r="H40" s="4" t="str">
        <f t="shared" ca="1" si="3"/>
        <v/>
      </c>
      <c r="I40" s="4"/>
    </row>
    <row r="41" spans="1:9" x14ac:dyDescent="0.35">
      <c r="A41" s="7">
        <f t="shared" si="2"/>
        <v>46248</v>
      </c>
      <c r="B41" s="4">
        <f>COUNTIF('Call Log'!$A$3:$A$301,A41)</f>
        <v>0</v>
      </c>
      <c r="C41" s="4">
        <f>COUNTIFS('Call Log'!$A$3:$A$301,A41,'Call Log'!$E$3:$E$301,"Appointment Set")+COUNTIFS('Appointment Log'!$A$3:$A$301,A41,'Appointment Log'!$C$3:$C$301,"Initial Meeting")</f>
        <v>0</v>
      </c>
      <c r="D41" s="4">
        <f>COUNTIFS('Appointment Log'!$A$3:$A$301,A41,'Appointment Log'!$D$3:$D$301,"Held")</f>
        <v>0</v>
      </c>
      <c r="E41" s="6">
        <f>SUMIF('Sales Log'!$A$3:$A$201,A41,'Sales Log'!$D$3:$D$201)</f>
        <v>0</v>
      </c>
      <c r="F41" s="4">
        <f>COUNTIF('Recruiting Log'!$A$3:$A$151,A41)</f>
        <v>0</v>
      </c>
      <c r="G41" s="4">
        <f>IF(B41&gt;=Dashboard!$B$5,1,0)</f>
        <v>0</v>
      </c>
      <c r="H41" s="4" t="str">
        <f t="shared" ca="1" si="3"/>
        <v/>
      </c>
      <c r="I41" s="4"/>
    </row>
    <row r="42" spans="1:9" x14ac:dyDescent="0.35">
      <c r="A42" s="7">
        <f t="shared" si="2"/>
        <v>46249</v>
      </c>
      <c r="B42" s="4">
        <f>COUNTIF('Call Log'!$A$3:$A$301,A42)</f>
        <v>0</v>
      </c>
      <c r="C42" s="4">
        <f>COUNTIFS('Call Log'!$A$3:$A$301,A42,'Call Log'!$E$3:$E$301,"Appointment Set")+COUNTIFS('Appointment Log'!$A$3:$A$301,A42,'Appointment Log'!$C$3:$C$301,"Initial Meeting")</f>
        <v>0</v>
      </c>
      <c r="D42" s="4">
        <f>COUNTIFS('Appointment Log'!$A$3:$A$301,A42,'Appointment Log'!$D$3:$D$301,"Held")</f>
        <v>0</v>
      </c>
      <c r="E42" s="6">
        <f>SUMIF('Sales Log'!$A$3:$A$201,A42,'Sales Log'!$D$3:$D$201)</f>
        <v>0</v>
      </c>
      <c r="F42" s="4">
        <f>COUNTIF('Recruiting Log'!$A$3:$A$151,A42)</f>
        <v>0</v>
      </c>
      <c r="G42" s="4">
        <f>IF(B42&gt;=Dashboard!$B$5,1,0)</f>
        <v>0</v>
      </c>
      <c r="H42" s="4" t="str">
        <f t="shared" ca="1" si="3"/>
        <v/>
      </c>
      <c r="I42" s="4"/>
    </row>
    <row r="43" spans="1:9" x14ac:dyDescent="0.35">
      <c r="A43" s="7">
        <f t="shared" si="2"/>
        <v>46250</v>
      </c>
      <c r="B43" s="4">
        <f>COUNTIF('Call Log'!$A$3:$A$301,A43)</f>
        <v>0</v>
      </c>
      <c r="C43" s="4">
        <f>COUNTIFS('Call Log'!$A$3:$A$301,A43,'Call Log'!$E$3:$E$301,"Appointment Set")+COUNTIFS('Appointment Log'!$A$3:$A$301,A43,'Appointment Log'!$C$3:$C$301,"Initial Meeting")</f>
        <v>0</v>
      </c>
      <c r="D43" s="4">
        <f>COUNTIFS('Appointment Log'!$A$3:$A$301,A43,'Appointment Log'!$D$3:$D$301,"Held")</f>
        <v>0</v>
      </c>
      <c r="E43" s="6">
        <f>SUMIF('Sales Log'!$A$3:$A$201,A43,'Sales Log'!$D$3:$D$201)</f>
        <v>0</v>
      </c>
      <c r="F43" s="4">
        <f>COUNTIF('Recruiting Log'!$A$3:$A$151,A43)</f>
        <v>0</v>
      </c>
      <c r="G43" s="4">
        <f>IF(B43&gt;=Dashboard!$B$5,1,0)</f>
        <v>0</v>
      </c>
      <c r="H43" s="4" t="str">
        <f t="shared" ca="1" si="3"/>
        <v/>
      </c>
      <c r="I43" s="4"/>
    </row>
    <row r="44" spans="1:9" x14ac:dyDescent="0.35">
      <c r="A44" s="7">
        <f t="shared" si="2"/>
        <v>46251</v>
      </c>
      <c r="B44" s="4">
        <f>COUNTIF('Call Log'!$A$3:$A$301,A44)</f>
        <v>0</v>
      </c>
      <c r="C44" s="4">
        <f>COUNTIFS('Call Log'!$A$3:$A$301,A44,'Call Log'!$E$3:$E$301,"Appointment Set")+COUNTIFS('Appointment Log'!$A$3:$A$301,A44,'Appointment Log'!$C$3:$C$301,"Initial Meeting")</f>
        <v>0</v>
      </c>
      <c r="D44" s="4">
        <f>COUNTIFS('Appointment Log'!$A$3:$A$301,A44,'Appointment Log'!$D$3:$D$301,"Held")</f>
        <v>0</v>
      </c>
      <c r="E44" s="6">
        <f>SUMIF('Sales Log'!$A$3:$A$201,A44,'Sales Log'!$D$3:$D$201)</f>
        <v>0</v>
      </c>
      <c r="F44" s="4">
        <f>COUNTIF('Recruiting Log'!$A$3:$A$151,A44)</f>
        <v>0</v>
      </c>
      <c r="G44" s="4">
        <f>IF(B44&gt;=Dashboard!$B$5,1,0)</f>
        <v>0</v>
      </c>
      <c r="H44" s="4" t="str">
        <f t="shared" ca="1" si="3"/>
        <v/>
      </c>
      <c r="I44" s="4"/>
    </row>
    <row r="45" spans="1:9" x14ac:dyDescent="0.35">
      <c r="A45" s="7">
        <f t="shared" si="2"/>
        <v>46252</v>
      </c>
      <c r="B45" s="4">
        <f>COUNTIF('Call Log'!$A$3:$A$301,A45)</f>
        <v>0</v>
      </c>
      <c r="C45" s="4">
        <f>COUNTIFS('Call Log'!$A$3:$A$301,A45,'Call Log'!$E$3:$E$301,"Appointment Set")+COUNTIFS('Appointment Log'!$A$3:$A$301,A45,'Appointment Log'!$C$3:$C$301,"Initial Meeting")</f>
        <v>0</v>
      </c>
      <c r="D45" s="4">
        <f>COUNTIFS('Appointment Log'!$A$3:$A$301,A45,'Appointment Log'!$D$3:$D$301,"Held")</f>
        <v>0</v>
      </c>
      <c r="E45" s="6">
        <f>SUMIF('Sales Log'!$A$3:$A$201,A45,'Sales Log'!$D$3:$D$201)</f>
        <v>0</v>
      </c>
      <c r="F45" s="4">
        <f>COUNTIF('Recruiting Log'!$A$3:$A$151,A45)</f>
        <v>0</v>
      </c>
      <c r="G45" s="4">
        <f>IF(B45&gt;=Dashboard!$B$5,1,0)</f>
        <v>0</v>
      </c>
      <c r="H45" s="4" t="str">
        <f t="shared" ca="1" si="3"/>
        <v/>
      </c>
      <c r="I45" s="4"/>
    </row>
    <row r="46" spans="1:9" x14ac:dyDescent="0.35">
      <c r="A46" s="7">
        <f t="shared" si="2"/>
        <v>46253</v>
      </c>
      <c r="B46" s="4">
        <f>COUNTIF('Call Log'!$A$3:$A$301,A46)</f>
        <v>0</v>
      </c>
      <c r="C46" s="4">
        <f>COUNTIFS('Call Log'!$A$3:$A$301,A46,'Call Log'!$E$3:$E$301,"Appointment Set")+COUNTIFS('Appointment Log'!$A$3:$A$301,A46,'Appointment Log'!$C$3:$C$301,"Initial Meeting")</f>
        <v>0</v>
      </c>
      <c r="D46" s="4">
        <f>COUNTIFS('Appointment Log'!$A$3:$A$301,A46,'Appointment Log'!$D$3:$D$301,"Held")</f>
        <v>0</v>
      </c>
      <c r="E46" s="6">
        <f>SUMIF('Sales Log'!$A$3:$A$201,A46,'Sales Log'!$D$3:$D$201)</f>
        <v>0</v>
      </c>
      <c r="F46" s="4">
        <f>COUNTIF('Recruiting Log'!$A$3:$A$151,A46)</f>
        <v>0</v>
      </c>
      <c r="G46" s="4">
        <f>IF(B46&gt;=Dashboard!$B$5,1,0)</f>
        <v>0</v>
      </c>
      <c r="H46" s="4" t="str">
        <f t="shared" ca="1" si="3"/>
        <v/>
      </c>
      <c r="I46" s="4"/>
    </row>
    <row r="47" spans="1:9" x14ac:dyDescent="0.35">
      <c r="A47" s="7">
        <f t="shared" si="2"/>
        <v>46254</v>
      </c>
      <c r="B47" s="4">
        <f>COUNTIF('Call Log'!$A$3:$A$301,A47)</f>
        <v>0</v>
      </c>
      <c r="C47" s="4">
        <f>COUNTIFS('Call Log'!$A$3:$A$301,A47,'Call Log'!$E$3:$E$301,"Appointment Set")+COUNTIFS('Appointment Log'!$A$3:$A$301,A47,'Appointment Log'!$C$3:$C$301,"Initial Meeting")</f>
        <v>0</v>
      </c>
      <c r="D47" s="4">
        <f>COUNTIFS('Appointment Log'!$A$3:$A$301,A47,'Appointment Log'!$D$3:$D$301,"Held")</f>
        <v>0</v>
      </c>
      <c r="E47" s="6">
        <f>SUMIF('Sales Log'!$A$3:$A$201,A47,'Sales Log'!$D$3:$D$201)</f>
        <v>0</v>
      </c>
      <c r="F47" s="4">
        <f>COUNTIF('Recruiting Log'!$A$3:$A$151,A47)</f>
        <v>0</v>
      </c>
      <c r="G47" s="4">
        <f>IF(B47&gt;=Dashboard!$B$5,1,0)</f>
        <v>0</v>
      </c>
      <c r="H47" s="4" t="str">
        <f t="shared" ca="1" si="3"/>
        <v/>
      </c>
      <c r="I47" s="4"/>
    </row>
    <row r="48" spans="1:9" x14ac:dyDescent="0.35">
      <c r="A48" s="7">
        <f t="shared" si="2"/>
        <v>46255</v>
      </c>
      <c r="B48" s="4">
        <f>COUNTIF('Call Log'!$A$3:$A$301,A48)</f>
        <v>0</v>
      </c>
      <c r="C48" s="4">
        <f>COUNTIFS('Call Log'!$A$3:$A$301,A48,'Call Log'!$E$3:$E$301,"Appointment Set")+COUNTIFS('Appointment Log'!$A$3:$A$301,A48,'Appointment Log'!$C$3:$C$301,"Initial Meeting")</f>
        <v>0</v>
      </c>
      <c r="D48" s="4">
        <f>COUNTIFS('Appointment Log'!$A$3:$A$301,A48,'Appointment Log'!$D$3:$D$301,"Held")</f>
        <v>0</v>
      </c>
      <c r="E48" s="6">
        <f>SUMIF('Sales Log'!$A$3:$A$201,A48,'Sales Log'!$D$3:$D$201)</f>
        <v>0</v>
      </c>
      <c r="F48" s="4">
        <f>COUNTIF('Recruiting Log'!$A$3:$A$151,A48)</f>
        <v>0</v>
      </c>
      <c r="G48" s="4">
        <f>IF(B48&gt;=Dashboard!$B$5,1,0)</f>
        <v>0</v>
      </c>
      <c r="H48" s="4" t="str">
        <f t="shared" ca="1" si="3"/>
        <v/>
      </c>
      <c r="I48" s="4"/>
    </row>
    <row r="49" spans="1:9" x14ac:dyDescent="0.35">
      <c r="A49" s="7">
        <f t="shared" si="2"/>
        <v>46256</v>
      </c>
      <c r="B49" s="4">
        <f>COUNTIF('Call Log'!$A$3:$A$301,A49)</f>
        <v>0</v>
      </c>
      <c r="C49" s="4">
        <f>COUNTIFS('Call Log'!$A$3:$A$301,A49,'Call Log'!$E$3:$E$301,"Appointment Set")+COUNTIFS('Appointment Log'!$A$3:$A$301,A49,'Appointment Log'!$C$3:$C$301,"Initial Meeting")</f>
        <v>0</v>
      </c>
      <c r="D49" s="4">
        <f>COUNTIFS('Appointment Log'!$A$3:$A$301,A49,'Appointment Log'!$D$3:$D$301,"Held")</f>
        <v>0</v>
      </c>
      <c r="E49" s="6">
        <f>SUMIF('Sales Log'!$A$3:$A$201,A49,'Sales Log'!$D$3:$D$201)</f>
        <v>0</v>
      </c>
      <c r="F49" s="4">
        <f>COUNTIF('Recruiting Log'!$A$3:$A$151,A49)</f>
        <v>0</v>
      </c>
      <c r="G49" s="4">
        <f>IF(B49&gt;=Dashboard!$B$5,1,0)</f>
        <v>0</v>
      </c>
      <c r="H49" s="4" t="str">
        <f t="shared" ca="1" si="3"/>
        <v/>
      </c>
      <c r="I49" s="4"/>
    </row>
    <row r="50" spans="1:9" x14ac:dyDescent="0.35">
      <c r="A50" s="7">
        <f t="shared" si="2"/>
        <v>46257</v>
      </c>
      <c r="B50" s="4">
        <f>COUNTIF('Call Log'!$A$3:$A$301,A50)</f>
        <v>0</v>
      </c>
      <c r="C50" s="4">
        <f>COUNTIFS('Call Log'!$A$3:$A$301,A50,'Call Log'!$E$3:$E$301,"Appointment Set")+COUNTIFS('Appointment Log'!$A$3:$A$301,A50,'Appointment Log'!$C$3:$C$301,"Initial Meeting")</f>
        <v>0</v>
      </c>
      <c r="D50" s="4">
        <f>COUNTIFS('Appointment Log'!$A$3:$A$301,A50,'Appointment Log'!$D$3:$D$301,"Held")</f>
        <v>0</v>
      </c>
      <c r="E50" s="6">
        <f>SUMIF('Sales Log'!$A$3:$A$201,A50,'Sales Log'!$D$3:$D$201)</f>
        <v>0</v>
      </c>
      <c r="F50" s="4">
        <f>COUNTIF('Recruiting Log'!$A$3:$A$151,A50)</f>
        <v>0</v>
      </c>
      <c r="G50" s="4">
        <f>IF(B50&gt;=Dashboard!$B$5,1,0)</f>
        <v>0</v>
      </c>
      <c r="H50" s="4" t="str">
        <f t="shared" ca="1" si="3"/>
        <v/>
      </c>
      <c r="I50" s="4"/>
    </row>
    <row r="51" spans="1:9" x14ac:dyDescent="0.35">
      <c r="A51" s="7">
        <f t="shared" si="2"/>
        <v>46258</v>
      </c>
      <c r="B51" s="4">
        <f>COUNTIF('Call Log'!$A$3:$A$301,A51)</f>
        <v>0</v>
      </c>
      <c r="C51" s="4">
        <f>COUNTIFS('Call Log'!$A$3:$A$301,A51,'Call Log'!$E$3:$E$301,"Appointment Set")+COUNTIFS('Appointment Log'!$A$3:$A$301,A51,'Appointment Log'!$C$3:$C$301,"Initial Meeting")</f>
        <v>0</v>
      </c>
      <c r="D51" s="4">
        <f>COUNTIFS('Appointment Log'!$A$3:$A$301,A51,'Appointment Log'!$D$3:$D$301,"Held")</f>
        <v>0</v>
      </c>
      <c r="E51" s="6">
        <f>SUMIF('Sales Log'!$A$3:$A$201,A51,'Sales Log'!$D$3:$D$201)</f>
        <v>0</v>
      </c>
      <c r="F51" s="4">
        <f>COUNTIF('Recruiting Log'!$A$3:$A$151,A51)</f>
        <v>0</v>
      </c>
      <c r="G51" s="4">
        <f>IF(B51&gt;=Dashboard!$B$5,1,0)</f>
        <v>0</v>
      </c>
      <c r="H51" s="4" t="str">
        <f t="shared" ca="1" si="3"/>
        <v/>
      </c>
      <c r="I51" s="4"/>
    </row>
    <row r="52" spans="1:9" x14ac:dyDescent="0.35">
      <c r="A52" s="7">
        <f t="shared" si="2"/>
        <v>46259</v>
      </c>
      <c r="B52" s="4">
        <f>COUNTIF('Call Log'!$A$3:$A$301,A52)</f>
        <v>0</v>
      </c>
      <c r="C52" s="4">
        <f>COUNTIFS('Call Log'!$A$3:$A$301,A52,'Call Log'!$E$3:$E$301,"Appointment Set")+COUNTIFS('Appointment Log'!$A$3:$A$301,A52,'Appointment Log'!$C$3:$C$301,"Initial Meeting")</f>
        <v>0</v>
      </c>
      <c r="D52" s="4">
        <f>COUNTIFS('Appointment Log'!$A$3:$A$301,A52,'Appointment Log'!$D$3:$D$301,"Held")</f>
        <v>0</v>
      </c>
      <c r="E52" s="6">
        <f>SUMIF('Sales Log'!$A$3:$A$201,A52,'Sales Log'!$D$3:$D$201)</f>
        <v>0</v>
      </c>
      <c r="F52" s="4">
        <f>COUNTIF('Recruiting Log'!$A$3:$A$151,A52)</f>
        <v>0</v>
      </c>
      <c r="G52" s="4">
        <f>IF(B52&gt;=Dashboard!$B$5,1,0)</f>
        <v>0</v>
      </c>
      <c r="H52" s="4" t="str">
        <f t="shared" ca="1" si="3"/>
        <v/>
      </c>
      <c r="I52" s="4"/>
    </row>
    <row r="53" spans="1:9" x14ac:dyDescent="0.35">
      <c r="A53" s="7">
        <f t="shared" si="2"/>
        <v>46260</v>
      </c>
      <c r="B53" s="4">
        <f>COUNTIF('Call Log'!$A$3:$A$301,A53)</f>
        <v>0</v>
      </c>
      <c r="C53" s="4">
        <f>COUNTIFS('Call Log'!$A$3:$A$301,A53,'Call Log'!$E$3:$E$301,"Appointment Set")+COUNTIFS('Appointment Log'!$A$3:$A$301,A53,'Appointment Log'!$C$3:$C$301,"Initial Meeting")</f>
        <v>0</v>
      </c>
      <c r="D53" s="4">
        <f>COUNTIFS('Appointment Log'!$A$3:$A$301,A53,'Appointment Log'!$D$3:$D$301,"Held")</f>
        <v>0</v>
      </c>
      <c r="E53" s="6">
        <f>SUMIF('Sales Log'!$A$3:$A$201,A53,'Sales Log'!$D$3:$D$201)</f>
        <v>0</v>
      </c>
      <c r="F53" s="4">
        <f>COUNTIF('Recruiting Log'!$A$3:$A$151,A53)</f>
        <v>0</v>
      </c>
      <c r="G53" s="4">
        <f>IF(B53&gt;=Dashboard!$B$5,1,0)</f>
        <v>0</v>
      </c>
      <c r="H53" s="4" t="str">
        <f t="shared" ca="1" si="3"/>
        <v/>
      </c>
      <c r="I53" s="4"/>
    </row>
    <row r="54" spans="1:9" x14ac:dyDescent="0.35">
      <c r="A54" s="7">
        <f t="shared" si="2"/>
        <v>46261</v>
      </c>
      <c r="B54" s="4">
        <f>COUNTIF('Call Log'!$A$3:$A$301,A54)</f>
        <v>0</v>
      </c>
      <c r="C54" s="4">
        <f>COUNTIFS('Call Log'!$A$3:$A$301,A54,'Call Log'!$E$3:$E$301,"Appointment Set")+COUNTIFS('Appointment Log'!$A$3:$A$301,A54,'Appointment Log'!$C$3:$C$301,"Initial Meeting")</f>
        <v>0</v>
      </c>
      <c r="D54" s="4">
        <f>COUNTIFS('Appointment Log'!$A$3:$A$301,A54,'Appointment Log'!$D$3:$D$301,"Held")</f>
        <v>0</v>
      </c>
      <c r="E54" s="6">
        <f>SUMIF('Sales Log'!$A$3:$A$201,A54,'Sales Log'!$D$3:$D$201)</f>
        <v>0</v>
      </c>
      <c r="F54" s="4">
        <f>COUNTIF('Recruiting Log'!$A$3:$A$151,A54)</f>
        <v>0</v>
      </c>
      <c r="G54" s="4">
        <f>IF(B54&gt;=Dashboard!$B$5,1,0)</f>
        <v>0</v>
      </c>
      <c r="H54" s="4" t="str">
        <f t="shared" ca="1" si="3"/>
        <v/>
      </c>
      <c r="I54" s="4"/>
    </row>
    <row r="55" spans="1:9" x14ac:dyDescent="0.35">
      <c r="A55" s="7">
        <f t="shared" si="2"/>
        <v>46262</v>
      </c>
      <c r="B55" s="4">
        <f>COUNTIF('Call Log'!$A$3:$A$301,A55)</f>
        <v>0</v>
      </c>
      <c r="C55" s="4">
        <f>COUNTIFS('Call Log'!$A$3:$A$301,A55,'Call Log'!$E$3:$E$301,"Appointment Set")+COUNTIFS('Appointment Log'!$A$3:$A$301,A55,'Appointment Log'!$C$3:$C$301,"Initial Meeting")</f>
        <v>0</v>
      </c>
      <c r="D55" s="4">
        <f>COUNTIFS('Appointment Log'!$A$3:$A$301,A55,'Appointment Log'!$D$3:$D$301,"Held")</f>
        <v>0</v>
      </c>
      <c r="E55" s="6">
        <f>SUMIF('Sales Log'!$A$3:$A$201,A55,'Sales Log'!$D$3:$D$201)</f>
        <v>0</v>
      </c>
      <c r="F55" s="4">
        <f>COUNTIF('Recruiting Log'!$A$3:$A$151,A55)</f>
        <v>0</v>
      </c>
      <c r="G55" s="4">
        <f>IF(B55&gt;=Dashboard!$B$5,1,0)</f>
        <v>0</v>
      </c>
      <c r="H55" s="4" t="str">
        <f t="shared" ca="1" si="3"/>
        <v/>
      </c>
      <c r="I55" s="4"/>
    </row>
    <row r="56" spans="1:9" x14ac:dyDescent="0.35">
      <c r="A56" s="7">
        <f t="shared" si="2"/>
        <v>46263</v>
      </c>
      <c r="B56" s="4">
        <f>COUNTIF('Call Log'!$A$3:$A$301,A56)</f>
        <v>0</v>
      </c>
      <c r="C56" s="4">
        <f>COUNTIFS('Call Log'!$A$3:$A$301,A56,'Call Log'!$E$3:$E$301,"Appointment Set")+COUNTIFS('Appointment Log'!$A$3:$A$301,A56,'Appointment Log'!$C$3:$C$301,"Initial Meeting")</f>
        <v>0</v>
      </c>
      <c r="D56" s="4">
        <f>COUNTIFS('Appointment Log'!$A$3:$A$301,A56,'Appointment Log'!$D$3:$D$301,"Held")</f>
        <v>0</v>
      </c>
      <c r="E56" s="6">
        <f>SUMIF('Sales Log'!$A$3:$A$201,A56,'Sales Log'!$D$3:$D$201)</f>
        <v>0</v>
      </c>
      <c r="F56" s="4">
        <f>COUNTIF('Recruiting Log'!$A$3:$A$151,A56)</f>
        <v>0</v>
      </c>
      <c r="G56" s="4">
        <f>IF(B56&gt;=Dashboard!$B$5,1,0)</f>
        <v>0</v>
      </c>
      <c r="H56" s="4" t="str">
        <f t="shared" ca="1" si="3"/>
        <v/>
      </c>
      <c r="I56" s="4"/>
    </row>
    <row r="57" spans="1:9" x14ac:dyDescent="0.35">
      <c r="A57" s="7">
        <f t="shared" si="2"/>
        <v>46264</v>
      </c>
      <c r="B57" s="4">
        <f>COUNTIF('Call Log'!$A$3:$A$301,A57)</f>
        <v>0</v>
      </c>
      <c r="C57" s="4">
        <f>COUNTIFS('Call Log'!$A$3:$A$301,A57,'Call Log'!$E$3:$E$301,"Appointment Set")+COUNTIFS('Appointment Log'!$A$3:$A$301,A57,'Appointment Log'!$C$3:$C$301,"Initial Meeting")</f>
        <v>0</v>
      </c>
      <c r="D57" s="4">
        <f>COUNTIFS('Appointment Log'!$A$3:$A$301,A57,'Appointment Log'!$D$3:$D$301,"Held")</f>
        <v>0</v>
      </c>
      <c r="E57" s="6">
        <f>SUMIF('Sales Log'!$A$3:$A$201,A57,'Sales Log'!$D$3:$D$201)</f>
        <v>0</v>
      </c>
      <c r="F57" s="4">
        <f>COUNTIF('Recruiting Log'!$A$3:$A$151,A57)</f>
        <v>0</v>
      </c>
      <c r="G57" s="4">
        <f>IF(B57&gt;=Dashboard!$B$5,1,0)</f>
        <v>0</v>
      </c>
      <c r="H57" s="4" t="str">
        <f t="shared" ca="1" si="3"/>
        <v/>
      </c>
      <c r="I57" s="4"/>
    </row>
    <row r="58" spans="1:9" x14ac:dyDescent="0.35">
      <c r="A58" s="7">
        <f t="shared" si="2"/>
        <v>46265</v>
      </c>
      <c r="B58" s="4">
        <f>COUNTIF('Call Log'!$A$3:$A$301,A58)</f>
        <v>0</v>
      </c>
      <c r="C58" s="4">
        <f>COUNTIFS('Call Log'!$A$3:$A$301,A58,'Call Log'!$E$3:$E$301,"Appointment Set")+COUNTIFS('Appointment Log'!$A$3:$A$301,A58,'Appointment Log'!$C$3:$C$301,"Initial Meeting")</f>
        <v>0</v>
      </c>
      <c r="D58" s="4">
        <f>COUNTIFS('Appointment Log'!$A$3:$A$301,A58,'Appointment Log'!$D$3:$D$301,"Held")</f>
        <v>0</v>
      </c>
      <c r="E58" s="6">
        <f>SUMIF('Sales Log'!$A$3:$A$201,A58,'Sales Log'!$D$3:$D$201)</f>
        <v>0</v>
      </c>
      <c r="F58" s="4">
        <f>COUNTIF('Recruiting Log'!$A$3:$A$151,A58)</f>
        <v>0</v>
      </c>
      <c r="G58" s="4">
        <f>IF(B58&gt;=Dashboard!$B$5,1,0)</f>
        <v>0</v>
      </c>
      <c r="H58" s="4" t="str">
        <f t="shared" ca="1" si="3"/>
        <v/>
      </c>
      <c r="I58" s="4"/>
    </row>
    <row r="59" spans="1:9" x14ac:dyDescent="0.35">
      <c r="A59" s="7">
        <f t="shared" si="2"/>
        <v>46266</v>
      </c>
      <c r="B59" s="4">
        <f>COUNTIF('Call Log'!$A$3:$A$301,A59)</f>
        <v>0</v>
      </c>
      <c r="C59" s="4">
        <f>COUNTIFS('Call Log'!$A$3:$A$301,A59,'Call Log'!$E$3:$E$301,"Appointment Set")+COUNTIFS('Appointment Log'!$A$3:$A$301,A59,'Appointment Log'!$C$3:$C$301,"Initial Meeting")</f>
        <v>0</v>
      </c>
      <c r="D59" s="4">
        <f>COUNTIFS('Appointment Log'!$A$3:$A$301,A59,'Appointment Log'!$D$3:$D$301,"Held")</f>
        <v>0</v>
      </c>
      <c r="E59" s="6">
        <f>SUMIF('Sales Log'!$A$3:$A$201,A59,'Sales Log'!$D$3:$D$201)</f>
        <v>0</v>
      </c>
      <c r="F59" s="4">
        <f>COUNTIF('Recruiting Log'!$A$3:$A$151,A59)</f>
        <v>0</v>
      </c>
      <c r="G59" s="4">
        <f>IF(B59&gt;=Dashboard!$B$5,1,0)</f>
        <v>0</v>
      </c>
      <c r="H59" s="4" t="str">
        <f t="shared" ca="1" si="3"/>
        <v/>
      </c>
      <c r="I59" s="4"/>
    </row>
    <row r="60" spans="1:9" x14ac:dyDescent="0.35">
      <c r="A60" s="7">
        <f t="shared" si="2"/>
        <v>46267</v>
      </c>
      <c r="B60" s="4">
        <f>COUNTIF('Call Log'!$A$3:$A$301,A60)</f>
        <v>0</v>
      </c>
      <c r="C60" s="4">
        <f>COUNTIFS('Call Log'!$A$3:$A$301,A60,'Call Log'!$E$3:$E$301,"Appointment Set")+COUNTIFS('Appointment Log'!$A$3:$A$301,A60,'Appointment Log'!$C$3:$C$301,"Initial Meeting")</f>
        <v>0</v>
      </c>
      <c r="D60" s="4">
        <f>COUNTIFS('Appointment Log'!$A$3:$A$301,A60,'Appointment Log'!$D$3:$D$301,"Held")</f>
        <v>0</v>
      </c>
      <c r="E60" s="6">
        <f>SUMIF('Sales Log'!$A$3:$A$201,A60,'Sales Log'!$D$3:$D$201)</f>
        <v>0</v>
      </c>
      <c r="F60" s="4">
        <f>COUNTIF('Recruiting Log'!$A$3:$A$151,A60)</f>
        <v>0</v>
      </c>
      <c r="G60" s="4">
        <f>IF(B60&gt;=Dashboard!$B$5,1,0)</f>
        <v>0</v>
      </c>
      <c r="H60" s="4" t="str">
        <f t="shared" ca="1" si="3"/>
        <v/>
      </c>
      <c r="I60" s="4"/>
    </row>
    <row r="61" spans="1:9" x14ac:dyDescent="0.35">
      <c r="A61" s="7">
        <f t="shared" si="2"/>
        <v>46268</v>
      </c>
      <c r="B61" s="4">
        <f>COUNTIF('Call Log'!$A$3:$A$301,A61)</f>
        <v>0</v>
      </c>
      <c r="C61" s="4">
        <f>COUNTIFS('Call Log'!$A$3:$A$301,A61,'Call Log'!$E$3:$E$301,"Appointment Set")+COUNTIFS('Appointment Log'!$A$3:$A$301,A61,'Appointment Log'!$C$3:$C$301,"Initial Meeting")</f>
        <v>0</v>
      </c>
      <c r="D61" s="4">
        <f>COUNTIFS('Appointment Log'!$A$3:$A$301,A61,'Appointment Log'!$D$3:$D$301,"Held")</f>
        <v>0</v>
      </c>
      <c r="E61" s="6">
        <f>SUMIF('Sales Log'!$A$3:$A$201,A61,'Sales Log'!$D$3:$D$201)</f>
        <v>0</v>
      </c>
      <c r="F61" s="4">
        <f>COUNTIF('Recruiting Log'!$A$3:$A$151,A61)</f>
        <v>0</v>
      </c>
      <c r="G61" s="4">
        <f>IF(B61&gt;=Dashboard!$B$5,1,0)</f>
        <v>0</v>
      </c>
      <c r="H61" s="4" t="str">
        <f t="shared" ca="1" si="3"/>
        <v/>
      </c>
      <c r="I61" s="4"/>
    </row>
    <row r="62" spans="1:9" x14ac:dyDescent="0.35">
      <c r="A62" s="7">
        <f t="shared" si="2"/>
        <v>46269</v>
      </c>
      <c r="B62" s="4">
        <f>COUNTIF('Call Log'!$A$3:$A$301,A62)</f>
        <v>0</v>
      </c>
      <c r="C62" s="4">
        <f>COUNTIFS('Call Log'!$A$3:$A$301,A62,'Call Log'!$E$3:$E$301,"Appointment Set")+COUNTIFS('Appointment Log'!$A$3:$A$301,A62,'Appointment Log'!$C$3:$C$301,"Initial Meeting")</f>
        <v>0</v>
      </c>
      <c r="D62" s="4">
        <f>COUNTIFS('Appointment Log'!$A$3:$A$301,A62,'Appointment Log'!$D$3:$D$301,"Held")</f>
        <v>0</v>
      </c>
      <c r="E62" s="6">
        <f>SUMIF('Sales Log'!$A$3:$A$201,A62,'Sales Log'!$D$3:$D$201)</f>
        <v>0</v>
      </c>
      <c r="F62" s="4">
        <f>COUNTIF('Recruiting Log'!$A$3:$A$151,A62)</f>
        <v>0</v>
      </c>
      <c r="G62" s="4">
        <f>IF(B62&gt;=Dashboard!$B$5,1,0)</f>
        <v>0</v>
      </c>
      <c r="H62" s="4" t="str">
        <f t="shared" ca="1" si="3"/>
        <v/>
      </c>
      <c r="I62" s="4"/>
    </row>
    <row r="64" spans="1:9" ht="15" customHeight="1" x14ac:dyDescent="0.35">
      <c r="A64" s="23" t="s">
        <v>40</v>
      </c>
      <c r="B64" s="23"/>
      <c r="C64" s="23"/>
      <c r="D64" s="23"/>
      <c r="E64" s="23"/>
      <c r="F64" s="23"/>
      <c r="G64" s="23"/>
      <c r="H64" s="23"/>
      <c r="I64" s="23"/>
    </row>
    <row r="65" spans="1:9" x14ac:dyDescent="0.35">
      <c r="A65" s="23"/>
      <c r="B65" s="23"/>
      <c r="C65" s="23"/>
      <c r="D65" s="23"/>
      <c r="E65" s="23"/>
      <c r="F65" s="23"/>
      <c r="G65" s="23"/>
      <c r="H65" s="23"/>
      <c r="I65" s="23"/>
    </row>
  </sheetData>
  <mergeCells count="1">
    <mergeCell ref="A64:I65"/>
  </mergeCells>
  <conditionalFormatting sqref="A2:I62">
    <cfRule type="expression" dxfId="5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2A47"/>
  </sheetPr>
  <dimension ref="A1:H85"/>
  <sheetViews>
    <sheetView showGridLines="0" tabSelected="1" zoomScaleNormal="100" workbookViewId="0">
      <selection activeCell="I69" sqref="I69"/>
    </sheetView>
  </sheetViews>
  <sheetFormatPr defaultColWidth="8.6328125" defaultRowHeight="14.5" x14ac:dyDescent="0.35"/>
  <cols>
    <col min="1" max="1" width="22" customWidth="1"/>
    <col min="2" max="2" width="10" customWidth="1"/>
    <col min="3" max="3" width="8.6328125" customWidth="1"/>
    <col min="4" max="4" width="18" customWidth="1"/>
    <col min="5" max="5" width="10" customWidth="1"/>
    <col min="6" max="6" width="3" customWidth="1"/>
    <col min="7" max="7" width="16" customWidth="1"/>
    <col min="8" max="8" width="10" customWidth="1"/>
  </cols>
  <sheetData>
    <row r="1" spans="1:8" ht="25.5" customHeight="1" x14ac:dyDescent="0.4">
      <c r="A1" s="25" t="s">
        <v>41</v>
      </c>
      <c r="B1" s="25"/>
      <c r="C1" s="25"/>
      <c r="D1" s="25"/>
      <c r="E1" s="25"/>
      <c r="F1" s="25"/>
    </row>
    <row r="3" spans="1:8" x14ac:dyDescent="0.35">
      <c r="A3" s="8" t="s">
        <v>42</v>
      </c>
      <c r="B3" s="9" t="s">
        <v>6</v>
      </c>
      <c r="D3" s="8" t="s">
        <v>43</v>
      </c>
      <c r="E3" s="10">
        <v>50</v>
      </c>
    </row>
    <row r="4" spans="1:8" x14ac:dyDescent="0.35">
      <c r="A4" s="8" t="s">
        <v>44</v>
      </c>
      <c r="B4" s="10">
        <v>3</v>
      </c>
      <c r="D4" s="8" t="s">
        <v>45</v>
      </c>
      <c r="E4" s="11">
        <v>188</v>
      </c>
    </row>
    <row r="5" spans="1:8" x14ac:dyDescent="0.35">
      <c r="A5" s="8" t="s">
        <v>46</v>
      </c>
      <c r="B5" s="10">
        <v>15</v>
      </c>
      <c r="D5" s="8" t="s">
        <v>47</v>
      </c>
      <c r="E5" s="12">
        <v>46249</v>
      </c>
    </row>
    <row r="6" spans="1:8" x14ac:dyDescent="0.35">
      <c r="A6" s="26" t="s">
        <v>48</v>
      </c>
      <c r="B6" s="26"/>
      <c r="C6" s="26"/>
      <c r="D6" s="26"/>
      <c r="E6" s="26"/>
      <c r="F6" s="26"/>
    </row>
    <row r="8" spans="1:8" ht="15.5" x14ac:dyDescent="0.35">
      <c r="A8" s="24" t="s">
        <v>49</v>
      </c>
      <c r="B8" s="24"/>
      <c r="C8" s="24"/>
      <c r="D8" s="24"/>
      <c r="E8" s="24"/>
      <c r="F8" s="24"/>
    </row>
    <row r="9" spans="1:8" x14ac:dyDescent="0.35">
      <c r="A9" s="2" t="s">
        <v>50</v>
      </c>
      <c r="B9" s="2" t="s">
        <v>51</v>
      </c>
      <c r="C9" s="2" t="s">
        <v>52</v>
      </c>
      <c r="D9" s="2" t="s">
        <v>53</v>
      </c>
    </row>
    <row r="10" spans="1:8" x14ac:dyDescent="0.35">
      <c r="A10" s="4" t="s">
        <v>32</v>
      </c>
      <c r="B10" s="4">
        <f>E3</f>
        <v>50</v>
      </c>
      <c r="C10" s="4">
        <f>COUNTIFS('Call Log'!$A$3:$A$301,"&gt;="&amp;$B$3,'Call Log'!$A$3:$A$301,"&lt;"&amp;$B$3+7)</f>
        <v>1</v>
      </c>
      <c r="D10" s="13">
        <f>IFERROR(C10/B10,0)</f>
        <v>0.02</v>
      </c>
    </row>
    <row r="11" spans="1:8" x14ac:dyDescent="0.35">
      <c r="A11" s="4" t="s">
        <v>54</v>
      </c>
      <c r="B11" s="4">
        <f>B4</f>
        <v>3</v>
      </c>
      <c r="C11" s="4">
        <f>COUNTIFS('Appointment Log'!$A$3:$A$301,"&gt;="&amp;$B$3,'Appointment Log'!$A$3:$A$301,"&lt;"&amp;$B$3+7,'Appointment Log'!$D$3:$D$301,"Held")</f>
        <v>0</v>
      </c>
      <c r="D11" s="13">
        <f>IFERROR(C11/B11,0)</f>
        <v>0</v>
      </c>
    </row>
    <row r="12" spans="1:8" x14ac:dyDescent="0.35">
      <c r="A12" s="4" t="s">
        <v>35</v>
      </c>
      <c r="B12" s="6">
        <f>E4</f>
        <v>188</v>
      </c>
      <c r="C12" s="6">
        <f>SUMIFS('Sales Log'!$D$3:$D$201,'Sales Log'!$A$3:$A$201,"&gt;="&amp;$B$3,'Sales Log'!$A$3:$A$201,"&lt;"&amp;$B$3+7)</f>
        <v>0</v>
      </c>
      <c r="D12" s="13">
        <f>IFERROR(C12/B12,0)</f>
        <v>0</v>
      </c>
    </row>
    <row r="14" spans="1:8" ht="15.5" x14ac:dyDescent="0.35">
      <c r="A14" s="1" t="s">
        <v>55</v>
      </c>
      <c r="D14" s="1" t="s">
        <v>56</v>
      </c>
      <c r="G14" s="1" t="s">
        <v>57</v>
      </c>
    </row>
    <row r="16" spans="1:8" x14ac:dyDescent="0.35">
      <c r="A16" s="2" t="s">
        <v>13</v>
      </c>
      <c r="B16" s="2" t="s">
        <v>58</v>
      </c>
      <c r="D16" s="14" t="s">
        <v>13</v>
      </c>
      <c r="E16" s="14" t="s">
        <v>58</v>
      </c>
      <c r="G16" s="14" t="s">
        <v>3</v>
      </c>
      <c r="H16" s="14" t="s">
        <v>58</v>
      </c>
    </row>
    <row r="17" spans="1:8" x14ac:dyDescent="0.35">
      <c r="A17" s="4" t="s">
        <v>59</v>
      </c>
      <c r="B17" s="4">
        <f>COUNTIFS('Call Log'!$A$3:$A$301,"&gt;="&amp;$B$3,'Call Log'!$A$3:$A$301,"&lt;"&amp;$B$3+7,'Call Log'!$E$3:$E$301,A17)</f>
        <v>0</v>
      </c>
      <c r="D17" s="4" t="s">
        <v>60</v>
      </c>
      <c r="E17" s="4">
        <f>COUNTIFS('Appointment Log'!$A$3:$A$301,"&gt;="&amp;$B$3,'Appointment Log'!$A$3:$A$301,"&lt;"&amp;$B$3+7,'Appointment Log'!$D$3:$D$301,D17)</f>
        <v>0</v>
      </c>
      <c r="G17" s="4" t="s">
        <v>9</v>
      </c>
      <c r="H17" s="4">
        <f>COUNTIFS('Call Log'!$A$3:$A$301,"&gt;="&amp;$B$3,'Call Log'!$A$3:$A$301,"&lt;"&amp;$B$3+7,'Call Log'!$D$3:$D$301,G17)</f>
        <v>0</v>
      </c>
    </row>
    <row r="18" spans="1:8" x14ac:dyDescent="0.35">
      <c r="A18" s="4" t="s">
        <v>61</v>
      </c>
      <c r="B18" s="4">
        <f>COUNTIFS('Call Log'!$A$3:$A$301,"&gt;="&amp;$B$3,'Call Log'!$A$3:$A$301,"&lt;"&amp;$B$3+7,'Call Log'!$E$3:$E$301,A18)</f>
        <v>0</v>
      </c>
      <c r="D18" s="4" t="s">
        <v>18</v>
      </c>
      <c r="E18" s="4">
        <f>COUNTIFS('Appointment Log'!$A$3:$A$301,"&gt;="&amp;$B$3,'Appointment Log'!$A$3:$A$301,"&lt;"&amp;$B$3+7,'Appointment Log'!$D$3:$D$301,D18)</f>
        <v>0</v>
      </c>
      <c r="G18" s="4" t="s">
        <v>29</v>
      </c>
      <c r="H18" s="4">
        <f>COUNTIFS('Call Log'!$A$3:$A$301,"&gt;="&amp;$B$3,'Call Log'!$A$3:$A$301,"&lt;"&amp;$B$3+7,'Call Log'!$D$3:$D$301,G18)</f>
        <v>0</v>
      </c>
    </row>
    <row r="19" spans="1:8" x14ac:dyDescent="0.35">
      <c r="A19" s="4" t="s">
        <v>62</v>
      </c>
      <c r="B19" s="4">
        <f>COUNTIFS('Call Log'!$A$3:$A$301,"&gt;="&amp;$B$3,'Call Log'!$A$3:$A$301,"&lt;"&amp;$B$3+7,'Call Log'!$E$3:$E$301,A19)</f>
        <v>1</v>
      </c>
      <c r="D19" s="4" t="s">
        <v>63</v>
      </c>
      <c r="E19" s="4">
        <f>COUNTIFS('Appointment Log'!$A$3:$A$301,"&gt;="&amp;$B$3,'Appointment Log'!$A$3:$A$301,"&lt;"&amp;$B$3+7,'Appointment Log'!$D$3:$D$301,D19)</f>
        <v>0</v>
      </c>
      <c r="G19" s="4" t="s">
        <v>64</v>
      </c>
      <c r="H19" s="4">
        <f>COUNTIFS('Call Log'!$A$3:$A$301,"&gt;="&amp;$B$3,'Call Log'!$A$3:$A$301,"&lt;"&amp;$B$3+7,'Call Log'!$D$3:$D$301,G19)</f>
        <v>0</v>
      </c>
    </row>
    <row r="20" spans="1:8" x14ac:dyDescent="0.35">
      <c r="A20" s="4" t="s">
        <v>10</v>
      </c>
      <c r="B20" s="4">
        <f>COUNTIFS('Call Log'!$A$3:$A$301,"&gt;="&amp;$B$3,'Call Log'!$A$3:$A$301,"&lt;"&amp;$B$3+7,'Call Log'!$E$3:$E$301,A20)</f>
        <v>0</v>
      </c>
      <c r="D20" s="4" t="s">
        <v>65</v>
      </c>
      <c r="E20" s="4">
        <f>COUNTIFS('Appointment Log'!$A$3:$A$301,"&gt;="&amp;$B$3,'Appointment Log'!$A$3:$A$301,"&lt;"&amp;$B$3+7,'Appointment Log'!$D$3:$D$301,D20)</f>
        <v>0</v>
      </c>
      <c r="G20" s="4" t="s">
        <v>66</v>
      </c>
      <c r="H20" s="4">
        <f>COUNTIFS('Call Log'!$A$3:$A$301,"&gt;="&amp;$B$3,'Call Log'!$A$3:$A$301,"&lt;"&amp;$B$3+7,'Call Log'!$D$3:$D$301,G20)</f>
        <v>0</v>
      </c>
    </row>
    <row r="21" spans="1:8" x14ac:dyDescent="0.35">
      <c r="A21" s="4" t="s">
        <v>67</v>
      </c>
      <c r="B21" s="4">
        <f>COUNTIFS('Call Log'!$A$3:$A$301,"&gt;="&amp;$B$3,'Call Log'!$A$3:$A$301,"&lt;"&amp;$B$3+7,'Call Log'!$E$3:$E$301,A21)</f>
        <v>0</v>
      </c>
      <c r="D21" s="4" t="s">
        <v>68</v>
      </c>
      <c r="E21" s="4">
        <f>COUNTIFS('Appointment Log'!$A$3:$A$301,"&gt;="&amp;$B$3,'Appointment Log'!$A$3:$A$301,"&lt;"&amp;$B$3+7,'Appointment Log'!$D$3:$D$301,D21)</f>
        <v>0</v>
      </c>
      <c r="G21" s="4" t="s">
        <v>90</v>
      </c>
      <c r="H21" s="4">
        <f>COUNTIFS('Call Log'!$A$3:$A$301,"&gt;="&amp;$B$3,'Call Log'!$A$3:$A$301,"&lt;"&amp;$B$3+7,'Call Log'!$D$3:$D$301,G21)</f>
        <v>1</v>
      </c>
    </row>
    <row r="22" spans="1:8" x14ac:dyDescent="0.35">
      <c r="G22" s="4" t="s">
        <v>69</v>
      </c>
      <c r="H22" s="4">
        <f>COUNTIFS('Call Log'!$A$3:$A$301,"&gt;="&amp;$B$3,'Call Log'!$A$3:$A$301,"&lt;"&amp;$B$3+7,'Call Log'!$D$3:$D$301,G22)</f>
        <v>0</v>
      </c>
    </row>
    <row r="39" spans="1:6" ht="15.5" x14ac:dyDescent="0.35">
      <c r="A39" s="24" t="s">
        <v>70</v>
      </c>
      <c r="B39" s="24"/>
      <c r="C39" s="24"/>
      <c r="D39" s="24"/>
      <c r="E39" s="24"/>
      <c r="F39" s="24"/>
    </row>
    <row r="40" spans="1:6" ht="28" x14ac:dyDescent="0.35">
      <c r="A40" s="2" t="s">
        <v>71</v>
      </c>
      <c r="B40" s="2" t="s">
        <v>32</v>
      </c>
      <c r="C40" s="21" t="s">
        <v>72</v>
      </c>
      <c r="D40" s="2" t="s">
        <v>34</v>
      </c>
      <c r="E40" s="2" t="s">
        <v>35</v>
      </c>
      <c r="F40" s="2" t="s">
        <v>73</v>
      </c>
    </row>
    <row r="41" spans="1:6" x14ac:dyDescent="0.35">
      <c r="A41" s="15">
        <f>$B$3-49</f>
        <v>46160</v>
      </c>
      <c r="B41" s="4">
        <f>COUNTIFS('Call Log'!$A$3:$A$301,"&gt;="&amp;A41,'Call Log'!$A$3:$A$301,"&lt;"&amp;A41+7)</f>
        <v>0</v>
      </c>
      <c r="C41" s="4">
        <f t="shared" ref="C41:C48" si="0">$E$3</f>
        <v>50</v>
      </c>
      <c r="D41" s="4">
        <f>COUNTIFS('Appointment Log'!$A$3:$A$301,"&gt;="&amp;A41,'Appointment Log'!$A$3:$A$301,"&lt;"&amp;A41+7,'Appointment Log'!$D$3:$D$301,"Held")</f>
        <v>0</v>
      </c>
      <c r="E41" s="6">
        <f>SUMIFS('Sales Log'!$D$3:$D$201,'Sales Log'!$A$3:$A$201,"&gt;="&amp;A41,'Sales Log'!$A$3:$A$201,"&lt;"&amp;A41+7)</f>
        <v>0</v>
      </c>
      <c r="F41" s="6">
        <f t="shared" ref="F41:F48" si="1">$E$4</f>
        <v>188</v>
      </c>
    </row>
    <row r="42" spans="1:6" x14ac:dyDescent="0.35">
      <c r="A42" s="15">
        <f>$B$3-42</f>
        <v>46167</v>
      </c>
      <c r="B42" s="4">
        <f>COUNTIFS('Call Log'!$A$3:$A$301,"&gt;="&amp;A42,'Call Log'!$A$3:$A$301,"&lt;"&amp;A42+7)</f>
        <v>0</v>
      </c>
      <c r="C42" s="4">
        <f t="shared" si="0"/>
        <v>50</v>
      </c>
      <c r="D42" s="4">
        <f>COUNTIFS('Appointment Log'!$A$3:$A$301,"&gt;="&amp;A42,'Appointment Log'!$A$3:$A$301,"&lt;"&amp;A42+7,'Appointment Log'!$D$3:$D$301,"Held")</f>
        <v>0</v>
      </c>
      <c r="E42" s="6">
        <f>SUMIFS('Sales Log'!$D$3:$D$201,'Sales Log'!$A$3:$A$201,"&gt;="&amp;A42,'Sales Log'!$A$3:$A$201,"&lt;"&amp;A42+7)</f>
        <v>0</v>
      </c>
      <c r="F42" s="6">
        <f t="shared" si="1"/>
        <v>188</v>
      </c>
    </row>
    <row r="43" spans="1:6" x14ac:dyDescent="0.35">
      <c r="A43" s="15">
        <f>$B$3-35</f>
        <v>46174</v>
      </c>
      <c r="B43" s="4">
        <f>COUNTIFS('Call Log'!$A$3:$A$301,"&gt;="&amp;A43,'Call Log'!$A$3:$A$301,"&lt;"&amp;A43+7)</f>
        <v>0</v>
      </c>
      <c r="C43" s="4">
        <f t="shared" si="0"/>
        <v>50</v>
      </c>
      <c r="D43" s="4">
        <f>COUNTIFS('Appointment Log'!$A$3:$A$301,"&gt;="&amp;A43,'Appointment Log'!$A$3:$A$301,"&lt;"&amp;A43+7,'Appointment Log'!$D$3:$D$301,"Held")</f>
        <v>0</v>
      </c>
      <c r="E43" s="6">
        <f>SUMIFS('Sales Log'!$D$3:$D$201,'Sales Log'!$A$3:$A$201,"&gt;="&amp;A43,'Sales Log'!$A$3:$A$201,"&lt;"&amp;A43+7)</f>
        <v>0</v>
      </c>
      <c r="F43" s="6">
        <f t="shared" si="1"/>
        <v>188</v>
      </c>
    </row>
    <row r="44" spans="1:6" x14ac:dyDescent="0.35">
      <c r="A44" s="15">
        <f>$B$3-28</f>
        <v>46181</v>
      </c>
      <c r="B44" s="4">
        <f>COUNTIFS('Call Log'!$A$3:$A$301,"&gt;="&amp;A44,'Call Log'!$A$3:$A$301,"&lt;"&amp;A44+7)</f>
        <v>0</v>
      </c>
      <c r="C44" s="4">
        <f t="shared" si="0"/>
        <v>50</v>
      </c>
      <c r="D44" s="4">
        <f>COUNTIFS('Appointment Log'!$A$3:$A$301,"&gt;="&amp;A44,'Appointment Log'!$A$3:$A$301,"&lt;"&amp;A44+7,'Appointment Log'!$D$3:$D$301,"Held")</f>
        <v>0</v>
      </c>
      <c r="E44" s="6">
        <f>SUMIFS('Sales Log'!$D$3:$D$201,'Sales Log'!$A$3:$A$201,"&gt;="&amp;A44,'Sales Log'!$A$3:$A$201,"&lt;"&amp;A44+7)</f>
        <v>0</v>
      </c>
      <c r="F44" s="6">
        <f t="shared" si="1"/>
        <v>188</v>
      </c>
    </row>
    <row r="45" spans="1:6" x14ac:dyDescent="0.35">
      <c r="A45" s="15">
        <f>$B$3-21</f>
        <v>46188</v>
      </c>
      <c r="B45" s="4">
        <f>COUNTIFS('Call Log'!$A$3:$A$301,"&gt;="&amp;A45,'Call Log'!$A$3:$A$301,"&lt;"&amp;A45+7)</f>
        <v>0</v>
      </c>
      <c r="C45" s="4">
        <f t="shared" si="0"/>
        <v>50</v>
      </c>
      <c r="D45" s="4">
        <f>COUNTIFS('Appointment Log'!$A$3:$A$301,"&gt;="&amp;A45,'Appointment Log'!$A$3:$A$301,"&lt;"&amp;A45+7,'Appointment Log'!$D$3:$D$301,"Held")</f>
        <v>0</v>
      </c>
      <c r="E45" s="6">
        <f>SUMIFS('Sales Log'!$D$3:$D$201,'Sales Log'!$A$3:$A$201,"&gt;="&amp;A45,'Sales Log'!$A$3:$A$201,"&lt;"&amp;A45+7)</f>
        <v>0</v>
      </c>
      <c r="F45" s="6">
        <f t="shared" si="1"/>
        <v>188</v>
      </c>
    </row>
    <row r="46" spans="1:6" x14ac:dyDescent="0.35">
      <c r="A46" s="15">
        <f>$B$3-14</f>
        <v>46195</v>
      </c>
      <c r="B46" s="4">
        <f>COUNTIFS('Call Log'!$A$3:$A$301,"&gt;="&amp;A46,'Call Log'!$A$3:$A$301,"&lt;"&amp;A46+7)</f>
        <v>0</v>
      </c>
      <c r="C46" s="4">
        <f t="shared" si="0"/>
        <v>50</v>
      </c>
      <c r="D46" s="4">
        <f>COUNTIFS('Appointment Log'!$A$3:$A$301,"&gt;="&amp;A46,'Appointment Log'!$A$3:$A$301,"&lt;"&amp;A46+7,'Appointment Log'!$D$3:$D$301,"Held")</f>
        <v>0</v>
      </c>
      <c r="E46" s="6">
        <f>SUMIFS('Sales Log'!$D$3:$D$201,'Sales Log'!$A$3:$A$201,"&gt;="&amp;A46,'Sales Log'!$A$3:$A$201,"&lt;"&amp;A46+7)</f>
        <v>0</v>
      </c>
      <c r="F46" s="6">
        <f t="shared" si="1"/>
        <v>188</v>
      </c>
    </row>
    <row r="47" spans="1:6" x14ac:dyDescent="0.35">
      <c r="A47" s="15">
        <f>$B$3-7</f>
        <v>46202</v>
      </c>
      <c r="B47" s="4">
        <f>COUNTIFS('Call Log'!$A$3:$A$301,"&gt;="&amp;A47,'Call Log'!$A$3:$A$301,"&lt;"&amp;A47+7)</f>
        <v>0</v>
      </c>
      <c r="C47" s="4">
        <f t="shared" si="0"/>
        <v>50</v>
      </c>
      <c r="D47" s="4">
        <f>COUNTIFS('Appointment Log'!$A$3:$A$301,"&gt;="&amp;A47,'Appointment Log'!$A$3:$A$301,"&lt;"&amp;A47+7,'Appointment Log'!$D$3:$D$301,"Held")</f>
        <v>0</v>
      </c>
      <c r="E47" s="6">
        <f>SUMIFS('Sales Log'!$D$3:$D$201,'Sales Log'!$A$3:$A$201,"&gt;="&amp;A47,'Sales Log'!$A$3:$A$201,"&lt;"&amp;A47+7)</f>
        <v>0</v>
      </c>
      <c r="F47" s="6">
        <f t="shared" si="1"/>
        <v>188</v>
      </c>
    </row>
    <row r="48" spans="1:6" x14ac:dyDescent="0.35">
      <c r="A48" s="15">
        <f>$B$3-0</f>
        <v>46209</v>
      </c>
      <c r="B48" s="4">
        <f>COUNTIFS('Call Log'!$A$3:$A$301,"&gt;="&amp;A48,'Call Log'!$A$3:$A$301,"&lt;"&amp;A48+7)</f>
        <v>1</v>
      </c>
      <c r="C48" s="4">
        <f t="shared" si="0"/>
        <v>50</v>
      </c>
      <c r="D48" s="4">
        <f>COUNTIFS('Appointment Log'!$A$3:$A$301,"&gt;="&amp;A48,'Appointment Log'!$A$3:$A$301,"&lt;"&amp;A48+7,'Appointment Log'!$D$3:$D$301,"Held")</f>
        <v>0</v>
      </c>
      <c r="E48" s="6">
        <f>SUMIFS('Sales Log'!$D$3:$D$201,'Sales Log'!$A$3:$A$201,"&gt;="&amp;A48,'Sales Log'!$A$3:$A$201,"&lt;"&amp;A48+7)</f>
        <v>0</v>
      </c>
      <c r="F48" s="6">
        <f t="shared" si="1"/>
        <v>188</v>
      </c>
    </row>
    <row r="68" spans="1:6" ht="15.5" x14ac:dyDescent="0.35">
      <c r="A68" s="24" t="s">
        <v>74</v>
      </c>
      <c r="B68" s="24"/>
      <c r="C68" s="24"/>
      <c r="D68" s="24"/>
      <c r="E68" s="24"/>
      <c r="F68" s="24"/>
    </row>
    <row r="69" spans="1:6" x14ac:dyDescent="0.35">
      <c r="A69" s="2" t="s">
        <v>50</v>
      </c>
      <c r="B69" s="2" t="s">
        <v>75</v>
      </c>
    </row>
    <row r="70" spans="1:6" ht="28.5" x14ac:dyDescent="0.35">
      <c r="A70" s="22" t="s">
        <v>76</v>
      </c>
      <c r="B70" s="16">
        <f>IFERROR(B17/C10,0)</f>
        <v>0</v>
      </c>
    </row>
    <row r="71" spans="1:6" x14ac:dyDescent="0.35">
      <c r="A71" s="22" t="s">
        <v>77</v>
      </c>
      <c r="B71" s="16">
        <f>IFERROR(E19/SUM(E17:E21),0)</f>
        <v>0</v>
      </c>
    </row>
    <row r="72" spans="1:6" x14ac:dyDescent="0.35">
      <c r="A72" s="22" t="s">
        <v>78</v>
      </c>
      <c r="B72" s="17">
        <f>SUMIFS('Appointment Log'!$F$3:$F$301,'Appointment Log'!$A$3:$A$301,"&gt;="&amp;$B$3,'Appointment Log'!$A$3:$A$301,"&lt;"&amp;$B$3+7)</f>
        <v>0</v>
      </c>
    </row>
    <row r="73" spans="1:6" ht="28.5" x14ac:dyDescent="0.35">
      <c r="A73" s="22" t="s">
        <v>79</v>
      </c>
      <c r="B73" s="17">
        <f>COUNTIFS('Recruiting Log'!$A$3:$A$151,"&gt;="&amp;$B$3,'Recruiting Log'!$A$3:$A$151,"&lt;"&amp;$B$3+7)</f>
        <v>0</v>
      </c>
    </row>
    <row r="74" spans="1:6" ht="28.5" x14ac:dyDescent="0.35">
      <c r="A74" s="22" t="s">
        <v>80</v>
      </c>
      <c r="B74" s="17">
        <f>COUNTIF('Recruiting Log'!$D$3:$D$151,"Licensed")</f>
        <v>0</v>
      </c>
    </row>
    <row r="75" spans="1:6" ht="28.5" x14ac:dyDescent="0.35">
      <c r="A75" s="22" t="s">
        <v>81</v>
      </c>
      <c r="B75" s="18">
        <f>SUMIFS('Appointment Log'!$E$3:$E$301,'Appointment Log'!$D$3:$D$301,"Scheduled")</f>
        <v>0</v>
      </c>
    </row>
    <row r="76" spans="1:6" ht="28.5" x14ac:dyDescent="0.35">
      <c r="A76" s="22" t="s">
        <v>82</v>
      </c>
      <c r="B76" s="17">
        <f ca="1">IFERROR(LOOKUP(2,1/(ISNUMBER('Daily Log'!$H$2:$H$62)),'Daily Log'!$H$2:$H$62),0)</f>
        <v>0</v>
      </c>
    </row>
    <row r="77" spans="1:6" ht="28.5" x14ac:dyDescent="0.35">
      <c r="A77" s="22" t="s">
        <v>83</v>
      </c>
      <c r="B77" s="19">
        <f>AVERAGE(B45:B48)</f>
        <v>0.25</v>
      </c>
    </row>
    <row r="78" spans="1:6" ht="28.5" x14ac:dyDescent="0.35">
      <c r="A78" s="22" t="s">
        <v>84</v>
      </c>
      <c r="B78" s="17">
        <f ca="1">E5-TODAY()</f>
        <v>32</v>
      </c>
    </row>
    <row r="80" spans="1:6" ht="15.5" x14ac:dyDescent="0.35">
      <c r="A80" s="24" t="s">
        <v>85</v>
      </c>
      <c r="B80" s="24"/>
      <c r="C80" s="24"/>
      <c r="D80" s="24"/>
      <c r="E80" s="24"/>
      <c r="F80" s="24"/>
    </row>
    <row r="81" spans="1:2" x14ac:dyDescent="0.35">
      <c r="A81" s="2" t="s">
        <v>86</v>
      </c>
      <c r="B81" s="2" t="s">
        <v>58</v>
      </c>
    </row>
    <row r="82" spans="1:2" x14ac:dyDescent="0.35">
      <c r="A82" s="4" t="s">
        <v>32</v>
      </c>
      <c r="B82" s="4">
        <f>C10</f>
        <v>1</v>
      </c>
    </row>
    <row r="83" spans="1:2" x14ac:dyDescent="0.35">
      <c r="A83" s="4" t="s">
        <v>87</v>
      </c>
      <c r="B83" s="4">
        <f>COUNTIFS('Call Log'!$A$3:$A$301,"&gt;="&amp;$B$3,'Call Log'!$A$3:$A$301,"&lt;"&amp;$B$3+7,'Call Log'!$E$3:$E$301,"Appointment Set")+COUNTIFS('Appointment Log'!$A$3:$A$301,"&gt;="&amp;$B$3,'Appointment Log'!$A$3:$A$301,"&lt;"&amp;$B$3+7,'Appointment Log'!$C$3:$C$301,"Initial Meeting")</f>
        <v>0</v>
      </c>
    </row>
    <row r="84" spans="1:2" x14ac:dyDescent="0.35">
      <c r="A84" s="4" t="s">
        <v>54</v>
      </c>
      <c r="B84" s="4">
        <f>C11</f>
        <v>0</v>
      </c>
    </row>
    <row r="85" spans="1:2" x14ac:dyDescent="0.35">
      <c r="A85" s="4" t="s">
        <v>88</v>
      </c>
      <c r="B85" s="4">
        <f>COUNTIFS('Sales Log'!$A$3:$A$201,"&gt;="&amp;$B$3,'Sales Log'!$A$3:$A$201,"&lt;"&amp;$B$3+7)</f>
        <v>0</v>
      </c>
    </row>
  </sheetData>
  <mergeCells count="6">
    <mergeCell ref="A80:F80"/>
    <mergeCell ref="A1:F1"/>
    <mergeCell ref="A6:F6"/>
    <mergeCell ref="A8:F8"/>
    <mergeCell ref="A39:F39"/>
    <mergeCell ref="A68:F68"/>
  </mergeCells>
  <conditionalFormatting sqref="A70:B78">
    <cfRule type="expression" dxfId="4" priority="5">
      <formula>MOD(ROW(),2)=0</formula>
    </cfRule>
  </conditionalFormatting>
  <conditionalFormatting sqref="A82:B85">
    <cfRule type="expression" dxfId="3" priority="6">
      <formula>MOD(ROW(),2)=0</formula>
    </cfRule>
  </conditionalFormatting>
  <conditionalFormatting sqref="A41:F48">
    <cfRule type="expression" dxfId="2" priority="4">
      <formula>MOD(ROW(),2)=0</formula>
    </cfRule>
  </conditionalFormatting>
  <conditionalFormatting sqref="C10:C12">
    <cfRule type="cellIs" dxfId="1" priority="2" operator="greaterThanOrEqual">
      <formula>B10</formula>
    </cfRule>
    <cfRule type="cellIs" dxfId="0" priority="3" operator="lessThan">
      <formula>B10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Call Log</vt:lpstr>
      <vt:lpstr>Appointment Log</vt:lpstr>
      <vt:lpstr>Sales Log</vt:lpstr>
      <vt:lpstr>Recruiting Log</vt:lpstr>
      <vt:lpstr>Daily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Madduri</cp:lastModifiedBy>
  <cp:revision>1</cp:revision>
  <dcterms:created xsi:type="dcterms:W3CDTF">2026-07-11T13:59:00Z</dcterms:created>
  <dcterms:modified xsi:type="dcterms:W3CDTF">2026-07-14T23:54:12Z</dcterms:modified>
  <dc:language>en-US</dc:language>
</cp:coreProperties>
</file>